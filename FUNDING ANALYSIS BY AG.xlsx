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shakibm_unhcr_org/Documents/Documents/2019098_pc_backup/resume/Job Apply/2026/SCCCM NOA Assistant Information Management Officer/IM questions and answer/"/>
    </mc:Choice>
  </mc:AlternateContent>
  <xr:revisionPtr revIDLastSave="5" documentId="8_{35408373-DBD1-45B9-A06C-38C94BB819E0}" xr6:coauthVersionLast="47" xr6:coauthVersionMax="47" xr10:uidLastSave="{6188BB5B-FFC4-45B4-9FDF-2E1E20A750A4}"/>
  <bookViews>
    <workbookView xWindow="-108" yWindow="-108" windowWidth="23256" windowHeight="12456" firstSheet="1" activeTab="1" xr2:uid="{7574E75E-0647-4D87-8EA0-387C071843F6}"/>
  </bookViews>
  <sheets>
    <sheet name="Sheet1" sheetId="1" r:id="rId1"/>
    <sheet name="Sheet2" sheetId="2" r:id="rId2"/>
    <sheet name="5W_Mapping_Metho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3" i="2" l="1"/>
  <c r="H101" i="2" l="1"/>
  <c r="H95" i="2"/>
  <c r="H79" i="2"/>
  <c r="H71" i="2"/>
  <c r="H55" i="2"/>
  <c r="H51" i="2"/>
  <c r="H32" i="2"/>
  <c r="H16" i="2"/>
  <c r="H4" i="2"/>
  <c r="K4" i="1"/>
  <c r="K5" i="1"/>
  <c r="K7" i="1"/>
  <c r="K8" i="1"/>
  <c r="K9" i="1"/>
  <c r="K10" i="1"/>
  <c r="K11" i="1"/>
  <c r="K14" i="1"/>
  <c r="I17" i="1"/>
  <c r="K17" i="1"/>
  <c r="K18" i="1"/>
  <c r="K19" i="1"/>
  <c r="K20" i="1"/>
  <c r="K23" i="1" l="1"/>
</calcChain>
</file>

<file path=xl/sharedStrings.xml><?xml version="1.0" encoding="utf-8"?>
<sst xmlns="http://schemas.openxmlformats.org/spreadsheetml/2006/main" count="1152" uniqueCount="406">
  <si>
    <t>Activity Group</t>
  </si>
  <si>
    <t>Req. Funding</t>
  </si>
  <si>
    <t>Received</t>
  </si>
  <si>
    <t>ACTIVITY GROUP</t>
  </si>
  <si>
    <t>ITEM</t>
  </si>
  <si>
    <t>#</t>
  </si>
  <si>
    <t>UNIT COST</t>
  </si>
  <si>
    <t>TOTAL COST</t>
  </si>
  <si>
    <t>AAP</t>
  </si>
  <si>
    <t>Access and Safety</t>
  </si>
  <si>
    <t>OBJ 1</t>
  </si>
  <si>
    <t>Access and Safety (SUGEST TO CHANGE TO SD</t>
  </si>
  <si>
    <t>OBJ 3</t>
  </si>
  <si>
    <t>SD</t>
  </si>
  <si>
    <t>Capacity Sharing/Training</t>
  </si>
  <si>
    <t>Community Participation and Empowerment</t>
  </si>
  <si>
    <t>Disaster Risk Management</t>
  </si>
  <si>
    <t>LPG</t>
  </si>
  <si>
    <t>NFI</t>
  </si>
  <si>
    <t>OBJ 2</t>
  </si>
  <si>
    <t>DRM NFI</t>
  </si>
  <si>
    <t>Service Coordination and Site Management Support</t>
  </si>
  <si>
    <t>DRM SM</t>
  </si>
  <si>
    <t>SITE MANAGEMENT SUPPORT</t>
  </si>
  <si>
    <t>Shelter</t>
  </si>
  <si>
    <t>SH</t>
  </si>
  <si>
    <t>MAKESHIFT SHELTERS (NEW CONSTRUCTIONS) NEED IDENTIFIED AT 101,793. Shelter Strategy 27 targets 30%)</t>
  </si>
  <si>
    <t>TSS (FIREBREAK APPROACH) RATIO OF 50TSS TO 150 TSS OF NEW SHELTER CONSTRUCTIONS</t>
  </si>
  <si>
    <t>DRM SH</t>
  </si>
  <si>
    <t>DAMAGE</t>
  </si>
  <si>
    <t>ESK CONTINGENCY (50,000 HHs)</t>
  </si>
  <si>
    <t>DRM SD</t>
  </si>
  <si>
    <t>ACTED</t>
  </si>
  <si>
    <t>CARE</t>
  </si>
  <si>
    <t>DRC</t>
  </si>
  <si>
    <t>HEKS</t>
  </si>
  <si>
    <t>IRB</t>
  </si>
  <si>
    <t>QC</t>
  </si>
  <si>
    <t>NRC</t>
  </si>
  <si>
    <t>BDRCS</t>
  </si>
  <si>
    <t>UNHCR</t>
  </si>
  <si>
    <t>IOM</t>
  </si>
  <si>
    <t>WFP</t>
  </si>
  <si>
    <t>UNDP</t>
  </si>
  <si>
    <t>FAO</t>
  </si>
  <si>
    <t>Sub Activity</t>
  </si>
  <si>
    <t>Targetted Population</t>
  </si>
  <si>
    <t>Priority</t>
  </si>
  <si>
    <t># of Camp Coordination meetings include refugee representatives held per month</t>
  </si>
  <si>
    <t>Refugee</t>
  </si>
  <si>
    <t>1st</t>
  </si>
  <si>
    <t>% of action points from camp coordination meetings addressed or escalated</t>
  </si>
  <si>
    <t>2nd</t>
  </si>
  <si>
    <t># of SMA led camp coordination forums</t>
  </si>
  <si>
    <t># of site profiles and Service monitoring database updated within the agreed timeframe</t>
  </si>
  <si>
    <t>% of identified service gaps forwarded to respective sectors</t>
  </si>
  <si>
    <t># of CCCM Safety Audits conducted (integrating GBV, disability, accessibility)</t>
  </si>
  <si>
    <t># of CCCM trainings/TOTs conducted</t>
  </si>
  <si>
    <t># of committee leaders trained in CCCM/AAP</t>
  </si>
  <si>
    <t># of individuals trained by modular training</t>
  </si>
  <si>
    <t>3rd</t>
  </si>
  <si>
    <t># of workshops conducted</t>
  </si>
  <si>
    <t># of Pole are treated for Shelter support from BTF</t>
  </si>
  <si>
    <t># of New shelter construction, including EVHHs for families who havent received shelter assistance in 2025</t>
  </si>
  <si>
    <t># of New shelter construction, including EVHHs</t>
  </si>
  <si>
    <t># of HHs reached with regular shelter improvement/upgrading, repair, maintenance and reinforcement, including EVHHs</t>
  </si>
  <si>
    <t># of Shelter / NFI need assessments conducted</t>
  </si>
  <si>
    <t># of PAM reports developed</t>
  </si>
  <si>
    <t># of HHs supported with alternative modified shelters (i.e. TSS including HH' community shelters ) including labour and porter (CBI) support to EVHHs</t>
  </si>
  <si>
    <t>R/S</t>
  </si>
  <si>
    <t># of Research initiative completed in the reporting year</t>
  </si>
  <si>
    <t># of unskilled Beneficiary trained on Shelter construction (TOT)</t>
  </si>
  <si>
    <t># of benefiting/targetted households trained on shelter construction</t>
  </si>
  <si>
    <t># of refugee HHs supported with alternative modified shelters (i.e. TSS) including labour and porter (CBI) support to EVHHs</t>
  </si>
  <si>
    <t>Host community</t>
  </si>
  <si>
    <t># of beneficiaries received training on Shelter construction including DRR (ToT)</t>
  </si>
  <si>
    <t># fo beneficiaries received shelter construction tools</t>
  </si>
  <si>
    <t># of identified priority bridges (Padestrians &amp; vehicular) and culvert crossings constructed/rehabitated/repaired.</t>
  </si>
  <si>
    <t># of Ha of watershed schemes constructed, maintained</t>
  </si>
  <si>
    <t>% of identified existing pathways rehabitated/repaired</t>
  </si>
  <si>
    <t>% of identified new pathways constructed</t>
  </si>
  <si>
    <t>% of new roads constructed (Vehicular)</t>
  </si>
  <si>
    <t>% of identified priority roads maintained (vehicular)</t>
  </si>
  <si>
    <t>% of population reached by SSL installed and maintained</t>
  </si>
  <si>
    <t># of identified stairs constructed</t>
  </si>
  <si>
    <t># of identified stairs repaired and maintained</t>
  </si>
  <si>
    <t># of identified drains constructed, repaired, maintained</t>
  </si>
  <si>
    <t># of ha revegetated land including slope stabilized through nature-based solutions</t>
  </si>
  <si>
    <t># of km streambank rehabilitated and maintained through riparian plantation</t>
  </si>
  <si>
    <t>Surface area re-forested and mitigate the landslide risk</t>
  </si>
  <si>
    <t>Post Assistance Monitoring</t>
  </si>
  <si>
    <t># of camps with agreed Meso plan developed</t>
  </si>
  <si>
    <t>LPG refills, training, energy efficient cookware, including EVHHs (RR)</t>
  </si>
  <si>
    <t># of New arrival HHS supported with LPG cylinder, refills and Pressure cooker and associated induction</t>
  </si>
  <si>
    <t>Post Distribution Monitoring for LPG, NFI and Shelter</t>
  </si>
  <si>
    <t># of HHs supported with maintenance of solar lamps, including EVHHs</t>
  </si>
  <si>
    <t># of HHs supported with Sector approved minimum NFI packages (including Voucher) (2026 new arrivals)</t>
  </si>
  <si>
    <t># of HHs supported with Sector approved minimum NFI packages (including Voucher) (families who havent received NFI assistance in 2025)</t>
  </si>
  <si>
    <t xml:space="preserve"> </t>
  </si>
  <si>
    <t># of HHs supported with Sector approved minimum NFI packages (including Voucher) or specific items requiring replenishment</t>
  </si>
  <si>
    <t># of Host Community HHs supported with Sector approved minimum NFI packages, including EVHHs including Voucher)</t>
  </si>
  <si>
    <t># of PDMs -NFI</t>
  </si>
  <si>
    <t># of camps with CFRM</t>
  </si>
  <si>
    <t>% of complaints resolved within timeframe</t>
  </si>
  <si>
    <t># of Information campaigns conducted by Site Management Agency</t>
  </si>
  <si>
    <t># of people reached by SMA information campaigns</t>
  </si>
  <si>
    <t># of thematic group sessions conducted</t>
  </si>
  <si>
    <t># of rehabilitation schemes (pathways, bridges, etc) identified, prioritised and implemented, following damage after heavy rainfall/ cylcone, by refugee community members through CFW modality or voluntarily</t>
  </si>
  <si>
    <t># of households identified and relocated from high-risk areas</t>
  </si>
  <si>
    <t>% of identified drainage cleaning and destilling works done</t>
  </si>
  <si>
    <t>% of identified high risk Slope areas stabilized through SD works</t>
  </si>
  <si>
    <t># of Multi Hazard awareness sessions conducted</t>
  </si>
  <si>
    <t># of households identified as in need of permanent relocation from high-risk area (flood/landslide)</t>
  </si>
  <si>
    <t># of DMC meetings</t>
  </si>
  <si>
    <t># of HHs identified pre disaster through SMA. (cyclone - flood)</t>
  </si>
  <si>
    <t># of DRM drills and simulations (Early warning system)</t>
  </si>
  <si>
    <t># of camps with established fire response capacity established (MFFU, training etc)</t>
  </si>
  <si>
    <t># of DRM training per camp received</t>
  </si>
  <si>
    <t># of camps with identified trained DRM first responders</t>
  </si>
  <si>
    <t># of refugee HHs supported with Emergency LPG distribution, including EVHHs</t>
  </si>
  <si>
    <t># of HHs supported with emergency NFI assistance (approved minimum package) including EVHHs (including Voucher)</t>
  </si>
  <si>
    <t># of Host Community HHs supported with emergency NFI assistance (approved minimum package) including EVHHs (including Voucher)</t>
  </si>
  <si>
    <t># of NFI kits prepositioned</t>
  </si>
  <si>
    <t># of incident reports identifying households for Rapid Damage Verification (RDV)</t>
  </si>
  <si>
    <t># of Shelter kits prepositioned for Emergency (Cyclone , Monsoon, Fire)</t>
  </si>
  <si>
    <t># of HHs shelters supported with TDK</t>
  </si>
  <si>
    <t># of HH supported with shelters (ESK, MTS, TSS, Tie Down kits) and repair materials distributions post hazard</t>
  </si>
  <si>
    <t>Post Distribution Monitoring</t>
  </si>
  <si>
    <t>HESK</t>
  </si>
  <si>
    <t>How the 5W reporting counts in the COMBINED sheet were produced</t>
  </si>
  <si>
    <t>- Source: SCCCM Sector_CXB_5W.xlsx, sheet '5W' (26,708 data lines, 26,698 of them under Refugee (-RC) activity groups).</t>
  </si>
  <si>
    <t>- 469 of the 26,698 refugee lines in the 5W sheet carry no value in the 'Reached' column; they are still counted as a month reported, because the partner did submit a line for that sub-activity.</t>
  </si>
  <si>
    <t>- Reporting period available in the 5W: January, February, March, April, May, June, July 2026 - so the maximum possible value in COMBINED is 7.</t>
  </si>
  <si>
    <t>- Only activity groups ending in -RC (refugee) are counted, as requested. Host-community sub-activities in COMBINED are marked 'n/a - host community'.</t>
  </si>
  <si>
    <t>- Where a 5W line names several partners (e.g. 'DSK, IOM'), each named partner is credited with that month.</t>
  </si>
  <si>
    <t>- Generic reporter labels (Others, WASH agency, WFP partner, SMS, blank) are grouped in the 'Other / unspecified reporters' column rather than given a partner column.</t>
  </si>
  <si>
    <t>- Sub-activities in COMBINED with no equivalent in the 5W activity list are marked 'no 5W equivalent'. These are mostly the new Objective 3 community-led lines, which do not exist in the 2026 reporting framework.</t>
  </si>
  <si>
    <t>- Matching is on sub-activity wording (normalised text comparison), with manual overrides where the 2027 wording was shortened or split. Every mapping is listed below with its similarity score.</t>
  </si>
  <si>
    <t>COMBINED row / code</t>
  </si>
  <si>
    <t>COMBINED sub-activity wording</t>
  </si>
  <si>
    <t>5W activity group</t>
  </si>
  <si>
    <t>Matched 5W sub-activity</t>
  </si>
  <si>
    <t>Match type</t>
  </si>
  <si>
    <t>6 - Sub-activity 1.1.1</t>
  </si>
  <si>
    <t>Service Coordination and Site Management Support-RC</t>
  </si>
  <si>
    <t>Exact match</t>
  </si>
  <si>
    <t>7 - Sub-activity 1.1.2</t>
  </si>
  <si>
    <t># of action points from camp coordination meetings addressed or escalated</t>
  </si>
  <si>
    <t>8 - Sub-activity 1.1.3</t>
  </si>
  <si>
    <t>9 - Sub-activity 1.1.4</t>
  </si>
  <si>
    <t>10 - Sub-activity 1.1.5</t>
  </si>
  <si>
    <t># of identified service gaps forwarded to respective sectors</t>
  </si>
  <si>
    <t>11 - Sub-activity 1.1.6</t>
  </si>
  <si>
    <t>14 - Sub Activity 1.2.1</t>
  </si>
  <si>
    <t>(blank)</t>
  </si>
  <si>
    <t>no sub-activity defined</t>
  </si>
  <si>
    <t>New Sub activity</t>
  </si>
  <si>
    <t>15 - Sub Activity 1.2.2</t>
  </si>
  <si>
    <t>16 - Sub Activity 1.2.3</t>
  </si>
  <si>
    <t>17 - Sub Activity 1.2.4</t>
  </si>
  <si>
    <t>18 - Sub Activity 1.2.5</t>
  </si>
  <si>
    <t>25 - Sub-activity 2.1.1</t>
  </si>
  <si>
    <t>Shelter-RC</t>
  </si>
  <si>
    <t>26 - Sub-activity 2.1.2</t>
  </si>
  <si>
    <t>28 - Sub-activity 2.1.3</t>
  </si>
  <si>
    <t>29 - Sub-activity 2.1.4</t>
  </si>
  <si>
    <t>34 - Sub-activity 2.1.5</t>
  </si>
  <si>
    <t># of Shelter/NFI need assessments conducted</t>
  </si>
  <si>
    <t>35 - Sub-activity 2.1.6</t>
  </si>
  <si>
    <t># of post-assistance monitoring (PAM) reports developed</t>
  </si>
  <si>
    <t>Edited</t>
  </si>
  <si>
    <t>36 - Sub-activity 2.1.7</t>
  </si>
  <si>
    <t>37 - Sub-activity 2.1.8</t>
  </si>
  <si>
    <t>38 - Sub-activity 2.1.9</t>
  </si>
  <si>
    <t>39 - Sub-activity 2.1.10</t>
  </si>
  <si>
    <t>41 - Sub-activity 2.2.1</t>
  </si>
  <si>
    <t>n/a - host community</t>
  </si>
  <si>
    <t>Host</t>
  </si>
  <si>
    <t>42 - Sub-activity 2.2.2</t>
  </si>
  <si>
    <t>43 - Sub-activity 2.3.3</t>
  </si>
  <si>
    <t># of beneficiaries received shelter construction tools</t>
  </si>
  <si>
    <t>47 - Sub-activity 3.1.1</t>
  </si>
  <si>
    <t>Access and Safety-RC</t>
  </si>
  <si>
    <t>48 - Sub-activity 3.1.2</t>
  </si>
  <si>
    <t>49 - Sub-activity 3.1.3</t>
  </si>
  <si>
    <t># of linear meters of identified pathway rehabilitated/repaired</t>
  </si>
  <si>
    <t>50 - Sub-activity 3.1.4</t>
  </si>
  <si>
    <t># of linear meters of the identified  new pathway constructed</t>
  </si>
  <si>
    <t>51 - Sub-activity 3.1.5</t>
  </si>
  <si>
    <t># of linear meters of identified new roads (vehicular) constructed</t>
  </si>
  <si>
    <t>52 - Sub-activity 3.1.6</t>
  </si>
  <si>
    <t># of linear meters of identified priority roads (vehicular) maintained</t>
  </si>
  <si>
    <t>53 - Sub-activity 3.1.7</t>
  </si>
  <si>
    <t># of population reached by SSL installed and maintained</t>
  </si>
  <si>
    <t>54 - Sub-activity 3.1.8</t>
  </si>
  <si>
    <t>55 - Sub-activity 3.1.9</t>
  </si>
  <si>
    <t>56 - Sub-activity 3.1.10</t>
  </si>
  <si>
    <t>57 - Sub-activity 3.1.11</t>
  </si>
  <si>
    <t># of solar-grids installed</t>
  </si>
  <si>
    <t>58 - Sub-activity 3.1.12</t>
  </si>
  <si>
    <t>59 - Sub-activity 3.1.13</t>
  </si>
  <si>
    <t>60 - Sub-activity 3.1.14</t>
  </si>
  <si>
    <t># of ha surface area re-forested and mitigate the landslide risk</t>
  </si>
  <si>
    <t>61 - Sub-activity 3.1.15</t>
  </si>
  <si>
    <t># of post Assistance monitoring (PAM) conducted</t>
  </si>
  <si>
    <t>64 - Sub-activity 3.2.1</t>
  </si>
  <si>
    <t>69 - Sub-activity 4.1.1</t>
  </si>
  <si>
    <t>LPG-RC</t>
  </si>
  <si>
    <t># of HHs received LPG refills, training, energy efficient cookware, including EVHHs (RR)</t>
  </si>
  <si>
    <t>70 - Sub-activity 4.1.2</t>
  </si>
  <si>
    <t>71 - Sub-activity 4.1.3</t>
  </si>
  <si>
    <t># of  Post Distribution Monitoring (PDM) for LPG, NFI, and Shelter conducted</t>
  </si>
  <si>
    <t>75 - Sub-activity 5.1.1</t>
  </si>
  <si>
    <t>NFI-RC</t>
  </si>
  <si>
    <t>76 - Sub-activity 5.1.2</t>
  </si>
  <si>
    <t>77 - Sub-activity 5.1.3</t>
  </si>
  <si>
    <t>78 - Sub-activity 5.1.4</t>
  </si>
  <si>
    <t>79 - Sub-activity 5.1.5</t>
  </si>
  <si>
    <t>80 - Sub-activity 5.1.6</t>
  </si>
  <si>
    <t># of Post Distribution Monitoring (PDM) for NFI conducted</t>
  </si>
  <si>
    <t>86 - Sub-activity 6.1.1</t>
  </si>
  <si>
    <t>DRM-SM-RC</t>
  </si>
  <si>
    <t>89 - Sub-activity 6.1.2</t>
  </si>
  <si>
    <t>91 - Sub-activity 6.1.3</t>
  </si>
  <si>
    <t>92 - Sub-activity 6.1.4</t>
  </si>
  <si>
    <t>95 - Sub-activity 7.1.1</t>
  </si>
  <si>
    <t>96 - Sub-activity 7.1.2</t>
  </si>
  <si>
    <t>97 - Sub-activity 7.1.3</t>
  </si>
  <si>
    <t>98 - Sub-activity 7.1.4</t>
  </si>
  <si>
    <t>99 - Sub-activity 7.1.5</t>
  </si>
  <si>
    <t>100 - Sub-activity 7.1.6</t>
  </si>
  <si>
    <t>DRM-SD-RC</t>
  </si>
  <si>
    <t># of linear meters of drainage cleaning and destilling works done</t>
  </si>
  <si>
    <t>101 - Sub-activity 7.1.7</t>
  </si>
  <si>
    <t>DRM-SNFI-RC</t>
  </si>
  <si>
    <t>102 - Sub-activity 7.1.8</t>
  </si>
  <si>
    <t>103 - Sub-activity 7.1.9</t>
  </si>
  <si>
    <t># of Post Distribution Monitoring (PDM) for DRM (Refugee)</t>
  </si>
  <si>
    <t>105 - Sub-activity 7.2.1</t>
  </si>
  <si>
    <t>106 - Sub-activity 7.2.2</t>
  </si>
  <si>
    <t>107 - Sub-activity 7.2.3</t>
  </si>
  <si>
    <t>108 - Sub-activity 7.2.4</t>
  </si>
  <si>
    <t>109 - Sub-activity 7.2.5</t>
  </si>
  <si>
    <t>110 - Sub-activity 7.2.6</t>
  </si>
  <si>
    <t>111 - Sub-activity 7.2.7</t>
  </si>
  <si>
    <t>112 - Sub-activity 7.2.8</t>
  </si>
  <si>
    <t>116 - Sub-activity 8.1.1</t>
  </si>
  <si>
    <t>117 - Sub-activity 8.1.2</t>
  </si>
  <si>
    <t>118 - Sub-activity 8.1.3</t>
  </si>
  <si>
    <t>119 - Sub-activity 8.1.4</t>
  </si>
  <si>
    <t>Post Distribution Monitoring - Emergency NFI</t>
  </si>
  <si>
    <t>122 - Sub-activity 9.1.1</t>
  </si>
  <si>
    <t>123 - Sub-activity 9.1.2</t>
  </si>
  <si>
    <t>124 - Sub-activity 9.1.3</t>
  </si>
  <si>
    <t>125 - Sub-activity 9.1.4</t>
  </si>
  <si>
    <t>Post Distribution Monitoring - Emergency Shelter</t>
  </si>
  <si>
    <t>128 - Sub-activity 10.1.1</t>
  </si>
  <si>
    <t>129 - Sub-activity 10.1.2</t>
  </si>
  <si>
    <t>130 - Sub-activity 10.1.3</t>
  </si>
  <si>
    <t>131 - Sub-activity 10.1.4</t>
  </si>
  <si>
    <t>132 - Sub-activity 10.1.5</t>
  </si>
  <si>
    <t>138 - Sub-activity 11.1.1</t>
  </si>
  <si>
    <t>AAP-RC</t>
  </si>
  <si>
    <t># of complaints closed</t>
  </si>
  <si>
    <t>139 - Sub-activity 11.1.2</t>
  </si>
  <si>
    <t>140 - Sub-activity 11.1.3</t>
  </si>
  <si>
    <t>141 - Sub-activity 11.1.4</t>
  </si>
  <si>
    <t>145 - Sub -activity 12.1.1</t>
  </si>
  <si>
    <t># of Participatory shelter assessments;</t>
  </si>
  <si>
    <t>no 5W equivalent</t>
  </si>
  <si>
    <t>None</t>
  </si>
  <si>
    <t>146 - Sub -activity 12.1.2</t>
  </si>
  <si>
    <t># of household prioritised</t>
  </si>
  <si>
    <t>147 - Sub -activity 12.1.3</t>
  </si>
  <si>
    <t># of household-led repairs/upgrades;</t>
  </si>
  <si>
    <t>148 - Sub -activity 12.1.4</t>
  </si>
  <si>
    <t># of community construction groups established</t>
  </si>
  <si>
    <t>149 - Sub -activity 12.1.5</t>
  </si>
  <si>
    <t># of local (refugee) artisans trained</t>
  </si>
  <si>
    <t>151 - Sub -activity 12.2.1</t>
  </si>
  <si>
    <t># of community builders/artisans trained</t>
  </si>
  <si>
    <t>152 - Sub -activity 12.2.2</t>
  </si>
  <si>
    <t># of technical mentoring schedules established</t>
  </si>
  <si>
    <t>153 - Sub -activity 12.2.3</t>
  </si>
  <si>
    <t># of community quality monitoring teams established (camp/block level)</t>
  </si>
  <si>
    <t>154 - Sub -activity 12.2.4</t>
  </si>
  <si>
    <t>159 - Sub -activity 13.1.1</t>
  </si>
  <si>
    <t># of settlement improvement plans developed/improved</t>
  </si>
  <si>
    <t>160 - Sub -activity 13.1.2</t>
  </si>
  <si>
    <t># of community driven hazard mapping developed</t>
  </si>
  <si>
    <t>161 - Sub -activity 13.1.3</t>
  </si>
  <si>
    <t># of commuity led settlement profiles done</t>
  </si>
  <si>
    <t>162 - Sub -activity 13.1.4</t>
  </si>
  <si>
    <t># of community driven infrastructure priorisation plans developed</t>
  </si>
  <si>
    <t>165 - Sub -activity 13.2.1</t>
  </si>
  <si>
    <t>166 - Sub -activity 13.2.2</t>
  </si>
  <si>
    <t>167 - Sub -activity 13.2.3</t>
  </si>
  <si>
    <t>168 - Sub -activity 13.2.4</t>
  </si>
  <si>
    <t>170 - Sub -activity 13.3.1</t>
  </si>
  <si>
    <t># of Community-led drainage/maintenance of pathways/access/lighting/communal spaces/waste-management facilities and other common infrastructure undertaken</t>
  </si>
  <si>
    <t>171 - Sub -activity 13.3.2</t>
  </si>
  <si>
    <t># of Communittee Maintenance committee established;</t>
  </si>
  <si>
    <t>172 - Sub -activity 13.3.3</t>
  </si>
  <si>
    <t># of local(refugee) repair teams installed;</t>
  </si>
  <si>
    <t>173 - Sub -activity 13.3.4</t>
  </si>
  <si>
    <t># of Community led maintenance plans developed;</t>
  </si>
  <si>
    <t>178 - Sub -activity 14.1.1</t>
  </si>
  <si>
    <t># of functional committees established</t>
  </si>
  <si>
    <t>179 - Sub -activity 14.1.2</t>
  </si>
  <si>
    <t># of camp level facilities monitored by communities;</t>
  </si>
  <si>
    <t>180 - Sub -activity 14.1.3</t>
  </si>
  <si>
    <t># of community monitoring actions initiated and recorded</t>
  </si>
  <si>
    <t>183 - Sub -activity 14.2.1</t>
  </si>
  <si>
    <t>Representative committees installed in each camp</t>
  </si>
  <si>
    <t>184 - Sub -activity 14.2.2</t>
  </si>
  <si>
    <t># of leadership development sessions delivered;</t>
  </si>
  <si>
    <t>185 - Sub -activity 14.2.3</t>
  </si>
  <si>
    <t>% of women/youth/other underrepresented groups represented</t>
  </si>
  <si>
    <t>188 - Sub -activity 14.3.1</t>
  </si>
  <si>
    <t># of Community priorities documented and tabled at the Monthly coordination meeting</t>
  </si>
  <si>
    <t>189 - Sub -activity 14.3.2</t>
  </si>
  <si>
    <t># of sub block level community meetings held</t>
  </si>
  <si>
    <t>194 - Sub -activity 15.1.1</t>
  </si>
  <si>
    <t># of Participatory NFI assessments conducted</t>
  </si>
  <si>
    <t>195 - Sub -activity 15.1.2</t>
  </si>
  <si>
    <t># of community consultations on NFI preference</t>
  </si>
  <si>
    <t>196 - Sub -activity 15.1.3</t>
  </si>
  <si>
    <t># of  culturally and contextually appropriate products identified</t>
  </si>
  <si>
    <t>199 - Sub -activity 15.2.1</t>
  </si>
  <si>
    <t>% of eligible NFI assistance delivered through vouchers/cash;</t>
  </si>
  <si>
    <t>200 - Sub -activity 15.2.2</t>
  </si>
  <si>
    <t>% of households reporting increased choice;</t>
  </si>
  <si>
    <t>201 - Sub -activity 15.2.3</t>
  </si>
  <si>
    <t>% reduction in unsolicited/unused NFI items; cost-efficiency compared with in-kind</t>
  </si>
  <si>
    <t>5W refugee sub-activities reported in 2026 with no line in the 2027 COMBINED sheet</t>
  </si>
  <si>
    <t>These are activities partners are currently reporting against but which the 2027 objectives do not yet capture - worth checking before the framework is fixed.</t>
  </si>
  <si>
    <t>5W sub-activity</t>
  </si>
  <si>
    <t>Lines reported</t>
  </si>
  <si>
    <t>Months reported</t>
  </si>
  <si>
    <t>Partners</t>
  </si>
  <si>
    <t># of complaints received</t>
  </si>
  <si>
    <t># of complaints referred</t>
  </si>
  <si>
    <t># of linear meters of new roads (vehicular) identified to be constructed</t>
  </si>
  <si>
    <t># of linear meters of pathway identified to be rehabilitated/repaired</t>
  </si>
  <si>
    <t># of linear meters of priority roads (vehicular) identified to be maintained</t>
  </si>
  <si>
    <t># of linear meters of the new pathway identified to be constructed</t>
  </si>
  <si>
    <t>Capacity Sharing/Training-RC</t>
  </si>
  <si>
    <t># of participants trained on CCCM</t>
  </si>
  <si>
    <t>Community Participation and Empowerment-RC</t>
  </si>
  <si>
    <t># of linear meters of drainage identified for cleaning and destilling works</t>
  </si>
  <si>
    <t># of square meters of high-risk slope areas constructed, maintained and repaired</t>
  </si>
  <si>
    <t># of square meters of high-risk slope areas identified</t>
  </si>
  <si>
    <t># of action points from camp coordination meetings taken</t>
  </si>
  <si>
    <t># of service gaps identified</t>
  </si>
  <si>
    <t>Partner reporting footprint under refugee activity groups</t>
  </si>
  <si>
    <t>Partner</t>
  </si>
  <si>
    <t>Column in COMBINED</t>
  </si>
  <si>
    <t>5W lines</t>
  </si>
  <si>
    <t>Sub-activities reported</t>
  </si>
  <si>
    <t>K</t>
  </si>
  <si>
    <t>BRAC</t>
  </si>
  <si>
    <t>L</t>
  </si>
  <si>
    <t>ESDO</t>
  </si>
  <si>
    <t>M</t>
  </si>
  <si>
    <t>DSK</t>
  </si>
  <si>
    <t>N</t>
  </si>
  <si>
    <t>O</t>
  </si>
  <si>
    <t>MBSS</t>
  </si>
  <si>
    <t>P</t>
  </si>
  <si>
    <t>ORNAB</t>
  </si>
  <si>
    <t>Q</t>
  </si>
  <si>
    <t>R</t>
  </si>
  <si>
    <t>NGOF</t>
  </si>
  <si>
    <t>S</t>
  </si>
  <si>
    <t>T</t>
  </si>
  <si>
    <t>AAB</t>
  </si>
  <si>
    <t>U</t>
  </si>
  <si>
    <t>IRW</t>
  </si>
  <si>
    <t>V</t>
  </si>
  <si>
    <t>HEKS/EPER</t>
  </si>
  <si>
    <t>W</t>
  </si>
  <si>
    <t>Caritas</t>
  </si>
  <si>
    <t>X</t>
  </si>
  <si>
    <t>Y</t>
  </si>
  <si>
    <t>AMAN</t>
  </si>
  <si>
    <t>Z</t>
  </si>
  <si>
    <t>HRF</t>
  </si>
  <si>
    <t>AA</t>
  </si>
  <si>
    <t>SAWAB</t>
  </si>
  <si>
    <t>AB</t>
  </si>
  <si>
    <t>AC</t>
  </si>
  <si>
    <t>GUSS</t>
  </si>
  <si>
    <t>AD</t>
  </si>
  <si>
    <t>Other / unspecified reporters</t>
  </si>
  <si>
    <t>AE</t>
  </si>
  <si>
    <t>COMBINED-AP sheet: Appeal Partner (Program Partner) reporting</t>
  </si>
  <si>
    <t>- Same method and same sub-activity mapping as COMBINED-IP, but counted on column I 'Program Partner' of the 5W sheet (= Appeal Partner, AP) instead of column H 'Implementing Partner'.</t>
  </si>
  <si>
    <t>- A value of n means that Appeal Partner appears on at least one 5W line for that sub-activity in n distinct months out of the 7 available (January-July 2026).</t>
  </si>
  <si>
    <t>- Only activity groups ending in -RC (refugee) are counted, consistent with COMBINED-IP.</t>
  </si>
  <si>
    <t>- Column I is single-valued in this dataset (no multi-partner strings), so no partner splitting was needed. 37 refugee lines have a blank Program Partner and are grouped under Other / unspecified reporters.</t>
  </si>
  <si>
    <t>- Because one AP can channel several implementing partners, AP month counts are generally higher for IOM/UNHCR/WFP and lower for NNGO implementers than in COMBINED-IP; the two sheets are not directly comparable partner by partner.</t>
  </si>
  <si>
    <t>- Months with any reporting = distinct months with at least one AP line for the sub-activity. Appeal partners reporting = number of APs with at least one month.</t>
  </si>
  <si>
    <t>Appeal (Program) Partner</t>
  </si>
  <si>
    <t>Column in COMBINED-AP</t>
  </si>
  <si>
    <t>5W lines (refugee activity groups)</t>
  </si>
  <si>
    <t>IFRC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</si>
</sst>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ierstadt"/>
      <family val="2"/>
    </font>
    <font>
      <b/>
      <sz val="11"/>
      <color theme="1"/>
      <name val="Bierstadt"/>
      <family val="2"/>
    </font>
    <font>
      <b/>
      <sz val="13"/>
      <color rgb="FF1B474D"/>
      <name val="Calibri"/>
    </font>
    <font>
      <sz val="10"/>
      <color rgb="FF5F6B6D"/>
      <name val="Calibri"/>
    </font>
    <font>
      <b/>
      <sz val="9"/>
      <color rgb="FFFFFFFF"/>
      <name val="Calibri"/>
    </font>
    <font>
      <sz val="9"/>
      <name val="Calibri"/>
    </font>
    <font>
      <i/>
      <sz val="9"/>
      <name val="Calibri"/>
    </font>
    <font>
      <sz val="11"/>
      <color rgb="FFFF0000"/>
      <name val="Bierstadt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B474D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1" applyNumberFormat="1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165" fontId="2" fillId="3" borderId="2" xfId="0" applyNumberFormat="1" applyFont="1" applyFill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164" fontId="2" fillId="0" borderId="2" xfId="0" applyNumberFormat="1" applyFont="1" applyBorder="1"/>
    <xf numFmtId="165" fontId="2" fillId="0" borderId="2" xfId="1" applyNumberFormat="1" applyFont="1" applyBorder="1"/>
    <xf numFmtId="0" fontId="2" fillId="0" borderId="2" xfId="0" applyFont="1" applyBorder="1" applyAlignment="1">
      <alignment wrapText="1"/>
    </xf>
    <xf numFmtId="165" fontId="2" fillId="2" borderId="2" xfId="0" applyNumberFormat="1" applyFont="1" applyFill="1" applyBorder="1" applyAlignment="1">
      <alignment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/>
    <xf numFmtId="165" fontId="3" fillId="0" borderId="2" xfId="1" applyNumberFormat="1" applyFont="1" applyBorder="1"/>
    <xf numFmtId="0" fontId="3" fillId="0" borderId="2" xfId="0" applyFont="1" applyBorder="1" applyAlignment="1">
      <alignment wrapText="1"/>
    </xf>
    <xf numFmtId="165" fontId="3" fillId="2" borderId="2" xfId="0" applyNumberFormat="1" applyFont="1" applyFill="1" applyBorder="1" applyAlignment="1">
      <alignment vertical="center" wrapText="1"/>
    </xf>
    <xf numFmtId="165" fontId="3" fillId="3" borderId="2" xfId="0" applyNumberFormat="1" applyFont="1" applyFill="1" applyBorder="1" applyAlignment="1">
      <alignment vertical="center" wrapText="1"/>
    </xf>
    <xf numFmtId="0" fontId="2" fillId="2" borderId="2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2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left" vertical="center" wrapText="1"/>
    </xf>
    <xf numFmtId="165" fontId="2" fillId="2" borderId="2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165" fontId="3" fillId="4" borderId="2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5" fontId="2" fillId="5" borderId="2" xfId="0" applyNumberFormat="1" applyFont="1" applyFill="1" applyBorder="1" applyAlignment="1">
      <alignment vertical="center" wrapText="1"/>
    </xf>
    <xf numFmtId="165" fontId="2" fillId="6" borderId="2" xfId="0" applyNumberFormat="1" applyFont="1" applyFill="1" applyBorder="1" applyAlignment="1">
      <alignment vertical="center" wrapText="1"/>
    </xf>
    <xf numFmtId="165" fontId="2" fillId="7" borderId="2" xfId="0" applyNumberFormat="1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8" borderId="0" xfId="0" applyFont="1" applyFill="1" applyAlignment="1">
      <alignment horizontal="center" vertical="center" wrapText="1"/>
    </xf>
    <xf numFmtId="0" fontId="7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top"/>
    </xf>
    <xf numFmtId="0" fontId="8" fillId="0" borderId="6" xfId="0" applyFont="1" applyBorder="1" applyAlignment="1">
      <alignment wrapText="1"/>
    </xf>
    <xf numFmtId="0" fontId="8" fillId="0" borderId="6" xfId="0" applyFont="1" applyBorder="1"/>
    <xf numFmtId="0" fontId="0" fillId="0" borderId="0" xfId="0" applyAlignment="1">
      <alignment wrapText="1"/>
    </xf>
    <xf numFmtId="165" fontId="2" fillId="4" borderId="2" xfId="0" applyNumberFormat="1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9" fillId="0" borderId="2" xfId="0" applyFont="1" applyBorder="1"/>
    <xf numFmtId="43" fontId="2" fillId="0" borderId="0" xfId="1" applyFont="1"/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165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5" fontId="2" fillId="2" borderId="5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0BE0-65AC-4A40-90F2-462BD1E835AF}">
  <dimension ref="B2:L25"/>
  <sheetViews>
    <sheetView zoomScale="85" zoomScaleNormal="85" workbookViewId="0">
      <selection activeCell="F4" sqref="F1:F1048576"/>
    </sheetView>
  </sheetViews>
  <sheetFormatPr defaultColWidth="23.6640625" defaultRowHeight="14.4" x14ac:dyDescent="0.3"/>
  <cols>
    <col min="1" max="1" width="23.6640625" style="1"/>
    <col min="2" max="2" width="23.6640625" style="7"/>
    <col min="3" max="4" width="23.6640625" style="1"/>
    <col min="5" max="5" width="1.44140625" style="6" customWidth="1"/>
    <col min="6" max="6" width="22.6640625" style="41" customWidth="1"/>
    <col min="7" max="7" width="24.5546875" style="5" customWidth="1"/>
    <col min="8" max="8" width="37.33203125" style="4" customWidth="1"/>
    <col min="9" max="9" width="36.44140625" style="3" customWidth="1"/>
    <col min="10" max="11" width="23.6640625" style="2"/>
    <col min="12" max="16384" width="23.6640625" style="1"/>
  </cols>
  <sheetData>
    <row r="2" spans="2:11" x14ac:dyDescent="0.3">
      <c r="B2" s="35"/>
      <c r="C2" s="34"/>
      <c r="D2" s="34"/>
      <c r="E2" s="33"/>
      <c r="F2" s="36"/>
      <c r="G2" s="32"/>
      <c r="H2" s="79">
        <v>2027</v>
      </c>
      <c r="I2" s="79"/>
      <c r="J2" s="79"/>
      <c r="K2" s="16"/>
    </row>
    <row r="3" spans="2:11" s="7" customFormat="1" x14ac:dyDescent="0.3">
      <c r="B3" s="26" t="s">
        <v>0</v>
      </c>
      <c r="C3" s="15" t="s">
        <v>1</v>
      </c>
      <c r="D3" s="15" t="s">
        <v>2</v>
      </c>
      <c r="E3" s="31"/>
      <c r="F3" s="37"/>
      <c r="G3" s="30" t="s">
        <v>3</v>
      </c>
      <c r="H3" s="29" t="s">
        <v>4</v>
      </c>
      <c r="I3" s="28" t="s">
        <v>5</v>
      </c>
      <c r="J3" s="27" t="s">
        <v>6</v>
      </c>
      <c r="K3" s="27" t="s">
        <v>7</v>
      </c>
    </row>
    <row r="4" spans="2:11" x14ac:dyDescent="0.3">
      <c r="B4" s="26" t="s">
        <v>8</v>
      </c>
      <c r="C4" s="14">
        <v>298648</v>
      </c>
      <c r="D4" s="14">
        <v>143959.25829999999</v>
      </c>
      <c r="E4" s="13"/>
      <c r="F4" s="38"/>
      <c r="G4" s="19" t="s">
        <v>8</v>
      </c>
      <c r="H4" s="18"/>
      <c r="I4" s="17"/>
      <c r="J4" s="16"/>
      <c r="K4" s="16">
        <f>I4*J4</f>
        <v>0</v>
      </c>
    </row>
    <row r="5" spans="2:11" ht="43.2" x14ac:dyDescent="0.3">
      <c r="B5" s="26" t="s">
        <v>9</v>
      </c>
      <c r="C5" s="14">
        <v>13223525</v>
      </c>
      <c r="D5" s="14">
        <v>5526309</v>
      </c>
      <c r="E5" s="13"/>
      <c r="F5" s="38" t="s">
        <v>10</v>
      </c>
      <c r="G5" s="19" t="s">
        <v>11</v>
      </c>
      <c r="H5" s="18"/>
      <c r="I5" s="17"/>
      <c r="J5" s="16"/>
      <c r="K5" s="16">
        <f>I5*J5</f>
        <v>0</v>
      </c>
    </row>
    <row r="6" spans="2:11" x14ac:dyDescent="0.3">
      <c r="B6" s="26"/>
      <c r="C6" s="14"/>
      <c r="D6" s="14"/>
      <c r="E6" s="13"/>
      <c r="F6" s="38" t="s">
        <v>12</v>
      </c>
      <c r="G6" s="19" t="s">
        <v>13</v>
      </c>
      <c r="H6" s="18"/>
      <c r="I6" s="17"/>
      <c r="J6" s="16"/>
      <c r="K6" s="16"/>
    </row>
    <row r="7" spans="2:11" ht="45" customHeight="1" x14ac:dyDescent="0.3">
      <c r="B7" s="26" t="s">
        <v>14</v>
      </c>
      <c r="C7" s="14">
        <v>73196</v>
      </c>
      <c r="D7" s="14">
        <v>36275</v>
      </c>
      <c r="E7" s="13"/>
      <c r="F7" s="38"/>
      <c r="G7" s="19"/>
      <c r="H7" s="18"/>
      <c r="I7" s="17"/>
      <c r="J7" s="16"/>
      <c r="K7" s="16">
        <f>I7*J7</f>
        <v>0</v>
      </c>
    </row>
    <row r="8" spans="2:11" ht="60" customHeight="1" x14ac:dyDescent="0.3">
      <c r="B8" s="26" t="s">
        <v>15</v>
      </c>
      <c r="C8" s="14">
        <v>318462</v>
      </c>
      <c r="D8" s="14">
        <v>236304</v>
      </c>
      <c r="E8" s="13"/>
      <c r="F8" s="38"/>
      <c r="G8" s="19"/>
      <c r="H8" s="18"/>
      <c r="I8" s="17"/>
      <c r="J8" s="16"/>
      <c r="K8" s="16">
        <f>I8*J8</f>
        <v>0</v>
      </c>
    </row>
    <row r="9" spans="2:11" ht="105" customHeight="1" x14ac:dyDescent="0.3">
      <c r="B9" s="26" t="s">
        <v>16</v>
      </c>
      <c r="C9" s="14">
        <v>26120009</v>
      </c>
      <c r="D9" s="14">
        <v>10100727</v>
      </c>
      <c r="E9" s="13"/>
      <c r="F9" s="38"/>
      <c r="G9" s="19"/>
      <c r="H9" s="18"/>
      <c r="I9" s="17"/>
      <c r="J9" s="16"/>
      <c r="K9" s="16">
        <f>I9*J9</f>
        <v>0</v>
      </c>
    </row>
    <row r="10" spans="2:11" ht="60" customHeight="1" x14ac:dyDescent="0.3">
      <c r="B10" s="26" t="s">
        <v>17</v>
      </c>
      <c r="C10" s="14">
        <v>34923225</v>
      </c>
      <c r="D10" s="14">
        <v>24822242</v>
      </c>
      <c r="E10" s="13"/>
      <c r="F10" s="38" t="s">
        <v>10</v>
      </c>
      <c r="G10" s="19" t="s">
        <v>17</v>
      </c>
      <c r="H10" s="18"/>
      <c r="I10" s="17"/>
      <c r="J10" s="16"/>
      <c r="K10" s="16">
        <f>I10*J10</f>
        <v>0</v>
      </c>
    </row>
    <row r="11" spans="2:11" x14ac:dyDescent="0.3">
      <c r="B11" s="26" t="s">
        <v>18</v>
      </c>
      <c r="C11" s="14">
        <v>12908996</v>
      </c>
      <c r="D11" s="14">
        <v>1597774.37</v>
      </c>
      <c r="E11" s="13"/>
      <c r="F11" s="38" t="s">
        <v>10</v>
      </c>
      <c r="G11" s="19" t="s">
        <v>18</v>
      </c>
      <c r="H11" s="18"/>
      <c r="I11" s="17"/>
      <c r="J11" s="16"/>
      <c r="K11" s="16">
        <f>I11*J11</f>
        <v>0</v>
      </c>
    </row>
    <row r="12" spans="2:11" x14ac:dyDescent="0.3">
      <c r="B12" s="26"/>
      <c r="C12" s="14"/>
      <c r="D12" s="14"/>
      <c r="E12" s="13"/>
      <c r="F12" s="38" t="s">
        <v>19</v>
      </c>
      <c r="G12" s="19" t="s">
        <v>20</v>
      </c>
      <c r="H12" s="18"/>
      <c r="I12" s="17"/>
      <c r="J12" s="16"/>
      <c r="K12" s="16"/>
    </row>
    <row r="13" spans="2:11" x14ac:dyDescent="0.3">
      <c r="B13" s="26"/>
      <c r="C13" s="14"/>
      <c r="D13" s="14"/>
      <c r="E13" s="13"/>
      <c r="F13" s="38" t="s">
        <v>12</v>
      </c>
      <c r="G13" s="19" t="s">
        <v>18</v>
      </c>
      <c r="H13" s="18"/>
      <c r="I13" s="17"/>
      <c r="J13" s="16"/>
      <c r="K13" s="16"/>
    </row>
    <row r="14" spans="2:11" ht="43.2" x14ac:dyDescent="0.3">
      <c r="B14" s="26" t="s">
        <v>21</v>
      </c>
      <c r="C14" s="14">
        <v>4419658</v>
      </c>
      <c r="D14" s="14">
        <v>280080.80530000001</v>
      </c>
      <c r="E14" s="13"/>
      <c r="F14" s="38" t="s">
        <v>10</v>
      </c>
      <c r="G14" s="26" t="s">
        <v>21</v>
      </c>
      <c r="H14" s="18"/>
      <c r="I14" s="17"/>
      <c r="J14" s="16"/>
      <c r="K14" s="16">
        <f>I14*J14</f>
        <v>0</v>
      </c>
    </row>
    <row r="15" spans="2:11" x14ac:dyDescent="0.3">
      <c r="B15" s="26"/>
      <c r="C15" s="14"/>
      <c r="D15" s="14"/>
      <c r="E15" s="13"/>
      <c r="F15" s="39" t="s">
        <v>19</v>
      </c>
      <c r="G15" s="25" t="s">
        <v>22</v>
      </c>
      <c r="H15" s="18"/>
      <c r="I15" s="17"/>
      <c r="J15" s="16"/>
      <c r="K15" s="16"/>
    </row>
    <row r="16" spans="2:11" ht="28.8" x14ac:dyDescent="0.3">
      <c r="B16" s="26"/>
      <c r="C16" s="14"/>
      <c r="D16" s="14"/>
      <c r="E16" s="13"/>
      <c r="F16" s="39" t="s">
        <v>12</v>
      </c>
      <c r="G16" s="25" t="s">
        <v>23</v>
      </c>
      <c r="H16" s="18"/>
      <c r="I16" s="17"/>
      <c r="J16" s="16"/>
      <c r="K16" s="16"/>
    </row>
    <row r="17" spans="2:12" ht="57.6" x14ac:dyDescent="0.3">
      <c r="B17" s="77" t="s">
        <v>24</v>
      </c>
      <c r="C17" s="78">
        <v>35709207</v>
      </c>
      <c r="D17" s="78">
        <v>10316100.02</v>
      </c>
      <c r="E17" s="20"/>
      <c r="F17" s="81" t="s">
        <v>10</v>
      </c>
      <c r="G17" s="75" t="s">
        <v>25</v>
      </c>
      <c r="H17" s="18" t="s">
        <v>26</v>
      </c>
      <c r="I17" s="17">
        <f>101793*0.3</f>
        <v>30537.899999999998</v>
      </c>
      <c r="J17" s="16">
        <v>850</v>
      </c>
      <c r="K17" s="16">
        <f>I17*J17</f>
        <v>25957215</v>
      </c>
      <c r="L17" s="74"/>
    </row>
    <row r="18" spans="2:12" ht="43.2" x14ac:dyDescent="0.3">
      <c r="B18" s="77"/>
      <c r="C18" s="78"/>
      <c r="D18" s="78"/>
      <c r="E18" s="20"/>
      <c r="F18" s="82"/>
      <c r="G18" s="80"/>
      <c r="H18" s="18" t="s">
        <v>27</v>
      </c>
      <c r="I18" s="17">
        <v>7000</v>
      </c>
      <c r="J18" s="16">
        <v>1500</v>
      </c>
      <c r="K18" s="16">
        <f>I18*J18</f>
        <v>10500000</v>
      </c>
      <c r="L18" s="74"/>
    </row>
    <row r="19" spans="2:12" x14ac:dyDescent="0.3">
      <c r="B19" s="77"/>
      <c r="C19" s="78"/>
      <c r="D19" s="78"/>
      <c r="E19" s="20"/>
      <c r="F19" s="81" t="s">
        <v>19</v>
      </c>
      <c r="G19" s="75" t="s">
        <v>28</v>
      </c>
      <c r="H19" s="18" t="s">
        <v>29</v>
      </c>
      <c r="I19" s="17">
        <v>112000</v>
      </c>
      <c r="J19" s="16">
        <v>75</v>
      </c>
      <c r="K19" s="16">
        <f>I19*J19</f>
        <v>8400000</v>
      </c>
    </row>
    <row r="20" spans="2:12" x14ac:dyDescent="0.3">
      <c r="B20" s="77"/>
      <c r="C20" s="78"/>
      <c r="D20" s="78"/>
      <c r="E20" s="20"/>
      <c r="F20" s="82"/>
      <c r="G20" s="76"/>
      <c r="H20" s="18" t="s">
        <v>30</v>
      </c>
      <c r="I20" s="17">
        <v>10000</v>
      </c>
      <c r="J20" s="16">
        <v>150</v>
      </c>
      <c r="K20" s="16">
        <f>I20*J20</f>
        <v>1500000</v>
      </c>
      <c r="L20" s="74"/>
    </row>
    <row r="21" spans="2:12" x14ac:dyDescent="0.3">
      <c r="B21" s="22"/>
      <c r="C21" s="21"/>
      <c r="D21" s="21"/>
      <c r="E21" s="20"/>
      <c r="F21" s="40" t="s">
        <v>12</v>
      </c>
      <c r="G21" s="24" t="s">
        <v>25</v>
      </c>
      <c r="H21" s="18"/>
      <c r="I21" s="17"/>
      <c r="J21" s="16"/>
      <c r="K21" s="16"/>
      <c r="L21" s="74"/>
    </row>
    <row r="22" spans="2:12" x14ac:dyDescent="0.3">
      <c r="B22" s="22"/>
      <c r="C22" s="21"/>
      <c r="D22" s="21"/>
      <c r="E22" s="20"/>
      <c r="F22" s="38" t="s">
        <v>19</v>
      </c>
      <c r="G22" s="23" t="s">
        <v>31</v>
      </c>
      <c r="H22" s="18"/>
      <c r="I22" s="17"/>
      <c r="J22" s="16"/>
      <c r="K22" s="16"/>
      <c r="L22" s="74"/>
    </row>
    <row r="23" spans="2:12" x14ac:dyDescent="0.3">
      <c r="B23" s="22"/>
      <c r="C23" s="21"/>
      <c r="D23" s="21"/>
      <c r="E23" s="20"/>
      <c r="F23" s="38"/>
      <c r="G23" s="19"/>
      <c r="H23" s="18"/>
      <c r="I23" s="17"/>
      <c r="J23" s="16"/>
      <c r="K23" s="16">
        <f>SUM(K4:K18)</f>
        <v>36457215</v>
      </c>
    </row>
    <row r="24" spans="2:12" x14ac:dyDescent="0.3">
      <c r="B24" s="15"/>
      <c r="C24" s="14">
        <v>127994926</v>
      </c>
      <c r="D24" s="14">
        <v>53059771.453600004</v>
      </c>
      <c r="E24" s="13"/>
      <c r="F24" s="40"/>
      <c r="G24" s="12"/>
      <c r="H24" s="11"/>
    </row>
    <row r="25" spans="2:12" x14ac:dyDescent="0.3">
      <c r="B25" s="10"/>
      <c r="C25" s="9"/>
      <c r="D25" s="9"/>
      <c r="E25" s="8"/>
    </row>
  </sheetData>
  <mergeCells count="10">
    <mergeCell ref="H2:J2"/>
    <mergeCell ref="G17:G18"/>
    <mergeCell ref="F17:F18"/>
    <mergeCell ref="F19:F20"/>
    <mergeCell ref="L17:L18"/>
    <mergeCell ref="L20:L22"/>
    <mergeCell ref="G19:G20"/>
    <mergeCell ref="B17:B20"/>
    <mergeCell ref="D17:D20"/>
    <mergeCell ref="C17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F38D-FE33-4808-AC55-5DA75115304E}">
  <dimension ref="A2:U131"/>
  <sheetViews>
    <sheetView tabSelected="1" zoomScale="85" zoomScaleNormal="85" workbookViewId="0">
      <selection activeCell="D5" sqref="D5"/>
    </sheetView>
  </sheetViews>
  <sheetFormatPr defaultColWidth="24.109375" defaultRowHeight="14.4" x14ac:dyDescent="0.3"/>
  <cols>
    <col min="1" max="1" width="4.109375" style="1" customWidth="1"/>
    <col min="2" max="2" width="30.6640625" style="1" customWidth="1"/>
    <col min="3" max="3" width="12" style="1" customWidth="1"/>
    <col min="4" max="4" width="117" style="1" customWidth="1"/>
    <col min="5" max="5" width="22.109375" style="1" bestFit="1" customWidth="1"/>
    <col min="6" max="6" width="16" style="1" bestFit="1" customWidth="1"/>
    <col min="7" max="7" width="14.88671875" style="1" bestFit="1" customWidth="1"/>
    <col min="8" max="8" width="12.88671875" style="56" bestFit="1" customWidth="1"/>
    <col min="9" max="16384" width="24.109375" style="1"/>
  </cols>
  <sheetData>
    <row r="2" spans="2:21" x14ac:dyDescent="0.3">
      <c r="B2" s="34"/>
      <c r="C2" s="34"/>
      <c r="D2" s="34"/>
      <c r="E2" s="34"/>
      <c r="F2" s="34"/>
      <c r="G2" s="34"/>
      <c r="H2" s="57"/>
      <c r="I2" s="34" t="s">
        <v>32</v>
      </c>
      <c r="J2" s="34" t="s">
        <v>33</v>
      </c>
      <c r="K2" s="34" t="s">
        <v>34</v>
      </c>
      <c r="L2" s="34" t="s">
        <v>35</v>
      </c>
      <c r="M2" s="34" t="s">
        <v>36</v>
      </c>
      <c r="N2" s="34" t="s">
        <v>37</v>
      </c>
      <c r="O2" s="34" t="s">
        <v>38</v>
      </c>
      <c r="P2" s="60" t="s">
        <v>39</v>
      </c>
      <c r="Q2" s="34" t="s">
        <v>40</v>
      </c>
      <c r="R2" s="34" t="s">
        <v>41</v>
      </c>
      <c r="S2" s="34" t="s">
        <v>42</v>
      </c>
      <c r="T2" s="34" t="s">
        <v>43</v>
      </c>
      <c r="U2" s="34" t="s">
        <v>44</v>
      </c>
    </row>
    <row r="3" spans="2:21" x14ac:dyDescent="0.3">
      <c r="B3" s="58" t="s">
        <v>0</v>
      </c>
      <c r="C3" s="58"/>
      <c r="D3" s="59" t="s">
        <v>45</v>
      </c>
      <c r="E3" s="58" t="s">
        <v>46</v>
      </c>
      <c r="F3" s="42" t="s">
        <v>47</v>
      </c>
      <c r="G3" s="42" t="s">
        <v>1</v>
      </c>
      <c r="H3" s="57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2:21" x14ac:dyDescent="0.3">
      <c r="B4" s="43" t="s">
        <v>21</v>
      </c>
      <c r="C4" s="43"/>
      <c r="D4" s="43" t="s">
        <v>48</v>
      </c>
      <c r="E4" s="43" t="s">
        <v>49</v>
      </c>
      <c r="F4" s="44" t="s">
        <v>50</v>
      </c>
      <c r="G4" s="14">
        <v>1705088</v>
      </c>
      <c r="H4" s="66">
        <f>SUM(G4:G14)</f>
        <v>4492854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2:21" x14ac:dyDescent="0.3">
      <c r="B5" s="43" t="s">
        <v>21</v>
      </c>
      <c r="C5" s="43"/>
      <c r="D5" s="43" t="s">
        <v>51</v>
      </c>
      <c r="E5" s="43" t="s">
        <v>49</v>
      </c>
      <c r="F5" s="45" t="s">
        <v>52</v>
      </c>
      <c r="G5" s="14">
        <v>12907</v>
      </c>
      <c r="H5" s="6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</row>
    <row r="6" spans="2:21" x14ac:dyDescent="0.3">
      <c r="B6" s="43" t="s">
        <v>21</v>
      </c>
      <c r="C6" s="43"/>
      <c r="D6" s="43" t="s">
        <v>53</v>
      </c>
      <c r="E6" s="43" t="s">
        <v>49</v>
      </c>
      <c r="F6" s="45" t="s">
        <v>52</v>
      </c>
      <c r="G6" s="14">
        <v>15834</v>
      </c>
      <c r="H6" s="66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2:21" x14ac:dyDescent="0.3">
      <c r="B7" s="43" t="s">
        <v>21</v>
      </c>
      <c r="C7" s="43"/>
      <c r="D7" s="43" t="s">
        <v>54</v>
      </c>
      <c r="E7" s="43" t="s">
        <v>49</v>
      </c>
      <c r="F7" s="44" t="s">
        <v>50</v>
      </c>
      <c r="G7" s="14">
        <v>1018152</v>
      </c>
      <c r="H7" s="6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</row>
    <row r="8" spans="2:21" x14ac:dyDescent="0.3">
      <c r="B8" s="43" t="s">
        <v>21</v>
      </c>
      <c r="C8" s="43"/>
      <c r="D8" s="43" t="s">
        <v>55</v>
      </c>
      <c r="E8" s="43" t="s">
        <v>49</v>
      </c>
      <c r="F8" s="44" t="s">
        <v>50</v>
      </c>
      <c r="G8" s="14">
        <v>1578050</v>
      </c>
      <c r="H8" s="66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</row>
    <row r="9" spans="2:21" x14ac:dyDescent="0.3">
      <c r="B9" s="43" t="s">
        <v>21</v>
      </c>
      <c r="C9" s="43"/>
      <c r="D9" s="43" t="s">
        <v>56</v>
      </c>
      <c r="E9" s="43" t="s">
        <v>49</v>
      </c>
      <c r="F9" s="45" t="s">
        <v>52</v>
      </c>
      <c r="G9" s="14">
        <v>89627</v>
      </c>
      <c r="H9" s="66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</row>
    <row r="10" spans="2:21" ht="6" customHeight="1" x14ac:dyDescent="0.3">
      <c r="B10" s="62"/>
      <c r="C10" s="62"/>
      <c r="D10" s="62"/>
      <c r="E10" s="62"/>
      <c r="F10" s="13"/>
      <c r="G10" s="13"/>
      <c r="H10" s="6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2:21" x14ac:dyDescent="0.3">
      <c r="B11" s="43" t="s">
        <v>14</v>
      </c>
      <c r="C11" s="43"/>
      <c r="D11" s="43" t="s">
        <v>57</v>
      </c>
      <c r="E11" s="43" t="s">
        <v>49</v>
      </c>
      <c r="F11" s="45" t="s">
        <v>52</v>
      </c>
      <c r="G11" s="14">
        <v>53767</v>
      </c>
      <c r="H11" s="6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2" spans="2:21" x14ac:dyDescent="0.3">
      <c r="B12" s="43" t="s">
        <v>14</v>
      </c>
      <c r="C12" s="43"/>
      <c r="D12" s="43" t="s">
        <v>58</v>
      </c>
      <c r="E12" s="43" t="s">
        <v>49</v>
      </c>
      <c r="F12" s="45" t="s">
        <v>52</v>
      </c>
      <c r="G12" s="14">
        <v>8061</v>
      </c>
      <c r="H12" s="66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</row>
    <row r="13" spans="2:21" x14ac:dyDescent="0.3">
      <c r="B13" s="43" t="s">
        <v>14</v>
      </c>
      <c r="C13" s="43"/>
      <c r="D13" s="43" t="s">
        <v>59</v>
      </c>
      <c r="E13" s="43" t="s">
        <v>49</v>
      </c>
      <c r="F13" s="46" t="s">
        <v>60</v>
      </c>
      <c r="G13" s="14">
        <v>1232</v>
      </c>
      <c r="H13" s="6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</row>
    <row r="14" spans="2:21" x14ac:dyDescent="0.3">
      <c r="B14" s="43" t="s">
        <v>14</v>
      </c>
      <c r="C14" s="43"/>
      <c r="D14" s="43" t="s">
        <v>61</v>
      </c>
      <c r="E14" s="43" t="s">
        <v>49</v>
      </c>
      <c r="F14" s="45" t="s">
        <v>52</v>
      </c>
      <c r="G14" s="14">
        <v>10136</v>
      </c>
      <c r="H14" s="6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</row>
    <row r="15" spans="2:21" ht="6" customHeight="1" x14ac:dyDescent="0.3">
      <c r="B15" s="62"/>
      <c r="C15" s="62"/>
      <c r="D15" s="62"/>
      <c r="E15" s="62"/>
      <c r="F15" s="13"/>
      <c r="G15" s="13"/>
      <c r="H15" s="63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</row>
    <row r="16" spans="2:21" x14ac:dyDescent="0.3">
      <c r="B16" s="43" t="s">
        <v>24</v>
      </c>
      <c r="C16" s="43"/>
      <c r="D16" s="43" t="s">
        <v>62</v>
      </c>
      <c r="E16" s="43" t="s">
        <v>49</v>
      </c>
      <c r="F16" s="45" t="s">
        <v>52</v>
      </c>
      <c r="G16" s="14">
        <v>499908</v>
      </c>
      <c r="H16" s="64">
        <f>SUM(G16:G30)</f>
        <v>35709207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</row>
    <row r="17" spans="2:21" x14ac:dyDescent="0.3">
      <c r="B17" s="43" t="s">
        <v>24</v>
      </c>
      <c r="C17" s="43"/>
      <c r="D17" s="43" t="s">
        <v>63</v>
      </c>
      <c r="E17" s="43" t="s">
        <v>49</v>
      </c>
      <c r="F17" s="45" t="s">
        <v>52</v>
      </c>
      <c r="G17" s="14">
        <v>11176757</v>
      </c>
      <c r="H17" s="65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</row>
    <row r="18" spans="2:21" x14ac:dyDescent="0.3">
      <c r="B18" s="43" t="s">
        <v>24</v>
      </c>
      <c r="C18" s="43"/>
      <c r="D18" s="43" t="s">
        <v>64</v>
      </c>
      <c r="E18" s="43" t="s">
        <v>49</v>
      </c>
      <c r="F18" s="45" t="s">
        <v>52</v>
      </c>
      <c r="G18" s="14">
        <v>445379</v>
      </c>
      <c r="H18" s="65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</row>
    <row r="19" spans="2:21" x14ac:dyDescent="0.3">
      <c r="B19" s="43" t="s">
        <v>24</v>
      </c>
      <c r="C19" s="43"/>
      <c r="D19" s="43" t="s">
        <v>65</v>
      </c>
      <c r="E19" s="43" t="s">
        <v>49</v>
      </c>
      <c r="F19" s="44" t="s">
        <v>50</v>
      </c>
      <c r="G19" s="14">
        <v>14821710</v>
      </c>
      <c r="H19" s="65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</row>
    <row r="20" spans="2:21" x14ac:dyDescent="0.3">
      <c r="B20" s="43" t="s">
        <v>24</v>
      </c>
      <c r="C20" s="43"/>
      <c r="D20" s="43" t="s">
        <v>66</v>
      </c>
      <c r="E20" s="43" t="s">
        <v>49</v>
      </c>
      <c r="F20" s="45" t="s">
        <v>52</v>
      </c>
      <c r="G20" s="14">
        <v>61618</v>
      </c>
      <c r="H20" s="65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pans="2:21" x14ac:dyDescent="0.3">
      <c r="B21" s="43" t="s">
        <v>24</v>
      </c>
      <c r="C21" s="43"/>
      <c r="D21" s="43" t="s">
        <v>67</v>
      </c>
      <c r="E21" s="43" t="s">
        <v>49</v>
      </c>
      <c r="F21" s="46" t="s">
        <v>60</v>
      </c>
      <c r="G21" s="14">
        <v>5082</v>
      </c>
      <c r="H21" s="65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2:21" ht="28.8" x14ac:dyDescent="0.3">
      <c r="B22" s="43" t="s">
        <v>24</v>
      </c>
      <c r="C22" s="43"/>
      <c r="D22" s="43" t="s">
        <v>68</v>
      </c>
      <c r="E22" s="43" t="s">
        <v>49</v>
      </c>
      <c r="F22" s="19" t="s">
        <v>69</v>
      </c>
      <c r="G22" s="14">
        <v>162892</v>
      </c>
      <c r="H22" s="65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2:21" x14ac:dyDescent="0.3">
      <c r="B23" s="43" t="s">
        <v>24</v>
      </c>
      <c r="C23" s="43"/>
      <c r="D23" s="43" t="s">
        <v>70</v>
      </c>
      <c r="E23" s="43" t="s">
        <v>49</v>
      </c>
      <c r="F23" s="19" t="s">
        <v>69</v>
      </c>
      <c r="G23" s="14">
        <v>54972</v>
      </c>
      <c r="H23" s="65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spans="2:21" x14ac:dyDescent="0.3">
      <c r="B24" s="43" t="s">
        <v>24</v>
      </c>
      <c r="C24" s="43"/>
      <c r="D24" s="43" t="s">
        <v>71</v>
      </c>
      <c r="E24" s="43" t="s">
        <v>49</v>
      </c>
      <c r="F24" s="45" t="s">
        <v>52</v>
      </c>
      <c r="G24" s="14">
        <v>26693</v>
      </c>
      <c r="H24" s="65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spans="2:21" x14ac:dyDescent="0.3">
      <c r="B25" s="43" t="s">
        <v>24</v>
      </c>
      <c r="C25" s="43"/>
      <c r="D25" s="43" t="s">
        <v>72</v>
      </c>
      <c r="E25" s="43" t="s">
        <v>49</v>
      </c>
      <c r="F25" s="46" t="s">
        <v>60</v>
      </c>
      <c r="G25" s="14">
        <v>30267</v>
      </c>
      <c r="H25" s="65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2:21" x14ac:dyDescent="0.3">
      <c r="B26" s="43" t="s">
        <v>24</v>
      </c>
      <c r="C26" s="43"/>
      <c r="D26" s="43" t="s">
        <v>73</v>
      </c>
      <c r="E26" s="43" t="s">
        <v>49</v>
      </c>
      <c r="F26" s="19" t="s">
        <v>69</v>
      </c>
      <c r="G26" s="14">
        <v>8081603</v>
      </c>
      <c r="H26" s="65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2:21" x14ac:dyDescent="0.3">
      <c r="B27" s="43" t="s">
        <v>24</v>
      </c>
      <c r="C27" s="43"/>
      <c r="D27" s="43" t="s">
        <v>65</v>
      </c>
      <c r="E27" s="55" t="s">
        <v>74</v>
      </c>
      <c r="F27" s="44" t="s">
        <v>50</v>
      </c>
      <c r="G27" s="14">
        <v>150000</v>
      </c>
      <c r="H27" s="65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spans="2:21" x14ac:dyDescent="0.3">
      <c r="B28" s="43" t="s">
        <v>24</v>
      </c>
      <c r="C28" s="43"/>
      <c r="D28" s="43" t="s">
        <v>75</v>
      </c>
      <c r="E28" s="55" t="s">
        <v>49</v>
      </c>
      <c r="F28" s="19" t="s">
        <v>69</v>
      </c>
      <c r="G28" s="14">
        <v>31231</v>
      </c>
      <c r="H28" s="65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spans="2:21" ht="28.8" x14ac:dyDescent="0.3">
      <c r="B29" s="43" t="s">
        <v>24</v>
      </c>
      <c r="C29" s="43"/>
      <c r="D29" s="43" t="s">
        <v>68</v>
      </c>
      <c r="E29" s="55" t="s">
        <v>74</v>
      </c>
      <c r="F29" s="19" t="s">
        <v>69</v>
      </c>
      <c r="G29" s="14">
        <v>98500</v>
      </c>
      <c r="H29" s="65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</row>
    <row r="30" spans="2:21" x14ac:dyDescent="0.3">
      <c r="B30" s="43" t="s">
        <v>24</v>
      </c>
      <c r="C30" s="43"/>
      <c r="D30" s="43" t="s">
        <v>76</v>
      </c>
      <c r="E30" s="55" t="s">
        <v>49</v>
      </c>
      <c r="F30" s="19" t="s">
        <v>69</v>
      </c>
      <c r="G30" s="14">
        <v>62595</v>
      </c>
      <c r="H30" s="65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spans="2:21" ht="6" customHeight="1" x14ac:dyDescent="0.3">
      <c r="B31" s="62"/>
      <c r="C31" s="62"/>
      <c r="D31" s="62"/>
      <c r="E31" s="62"/>
      <c r="F31" s="13"/>
      <c r="G31" s="13"/>
      <c r="H31" s="6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</row>
    <row r="32" spans="2:21" x14ac:dyDescent="0.3">
      <c r="B32" s="43" t="s">
        <v>9</v>
      </c>
      <c r="C32" s="43"/>
      <c r="D32" s="43" t="s">
        <v>77</v>
      </c>
      <c r="E32" s="43" t="s">
        <v>49</v>
      </c>
      <c r="F32" s="45" t="s">
        <v>52</v>
      </c>
      <c r="G32" s="14">
        <v>288136</v>
      </c>
      <c r="H32" s="64">
        <f>SUM(G32:G49)</f>
        <v>13223525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2:21" x14ac:dyDescent="0.3">
      <c r="B33" s="43" t="s">
        <v>9</v>
      </c>
      <c r="C33" s="43"/>
      <c r="D33" s="43" t="s">
        <v>78</v>
      </c>
      <c r="E33" s="43" t="s">
        <v>49</v>
      </c>
      <c r="F33" s="45" t="s">
        <v>52</v>
      </c>
      <c r="G33" s="14">
        <v>489499</v>
      </c>
      <c r="H33" s="65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spans="2:21" x14ac:dyDescent="0.3">
      <c r="B34" s="43" t="s">
        <v>9</v>
      </c>
      <c r="C34" s="43"/>
      <c r="D34" s="43" t="s">
        <v>79</v>
      </c>
      <c r="E34" s="43" t="s">
        <v>49</v>
      </c>
      <c r="F34" s="45" t="s">
        <v>52</v>
      </c>
      <c r="G34" s="14">
        <v>1454241</v>
      </c>
      <c r="H34" s="65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5" spans="2:21" x14ac:dyDescent="0.3">
      <c r="B35" s="43" t="s">
        <v>9</v>
      </c>
      <c r="C35" s="43"/>
      <c r="D35" s="43" t="s">
        <v>80</v>
      </c>
      <c r="E35" s="43" t="s">
        <v>49</v>
      </c>
      <c r="F35" s="46" t="s">
        <v>60</v>
      </c>
      <c r="G35" s="14">
        <v>784575</v>
      </c>
      <c r="H35" s="65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</row>
    <row r="36" spans="2:21" x14ac:dyDescent="0.3">
      <c r="B36" s="43" t="s">
        <v>9</v>
      </c>
      <c r="C36" s="43"/>
      <c r="D36" s="43" t="s">
        <v>81</v>
      </c>
      <c r="E36" s="43" t="s">
        <v>49</v>
      </c>
      <c r="F36" s="46" t="s">
        <v>60</v>
      </c>
      <c r="G36" s="14">
        <v>416506</v>
      </c>
      <c r="H36" s="65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2:21" x14ac:dyDescent="0.3">
      <c r="B37" s="43" t="s">
        <v>9</v>
      </c>
      <c r="C37" s="43"/>
      <c r="D37" s="43" t="s">
        <v>82</v>
      </c>
      <c r="E37" s="43" t="s">
        <v>49</v>
      </c>
      <c r="F37" s="45" t="s">
        <v>52</v>
      </c>
      <c r="G37" s="14">
        <v>690435</v>
      </c>
      <c r="H37" s="65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2:21" x14ac:dyDescent="0.3">
      <c r="B38" s="43" t="s">
        <v>9</v>
      </c>
      <c r="C38" s="43"/>
      <c r="D38" s="43" t="s">
        <v>83</v>
      </c>
      <c r="E38" s="43" t="s">
        <v>49</v>
      </c>
      <c r="F38" s="46" t="s">
        <v>60</v>
      </c>
      <c r="G38" s="14">
        <v>1144825</v>
      </c>
      <c r="H38" s="65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2:21" x14ac:dyDescent="0.3">
      <c r="B39" s="43" t="s">
        <v>9</v>
      </c>
      <c r="C39" s="43"/>
      <c r="D39" s="43" t="s">
        <v>84</v>
      </c>
      <c r="E39" s="43" t="s">
        <v>49</v>
      </c>
      <c r="F39" s="46" t="s">
        <v>60</v>
      </c>
      <c r="G39" s="14">
        <v>333660</v>
      </c>
      <c r="H39" s="65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2:21" x14ac:dyDescent="0.3">
      <c r="B40" s="43" t="s">
        <v>9</v>
      </c>
      <c r="C40" s="43"/>
      <c r="D40" s="43" t="s">
        <v>85</v>
      </c>
      <c r="E40" s="43" t="s">
        <v>49</v>
      </c>
      <c r="F40" s="45" t="s">
        <v>52</v>
      </c>
      <c r="G40" s="14">
        <v>626363</v>
      </c>
      <c r="H40" s="65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</row>
    <row r="41" spans="2:21" x14ac:dyDescent="0.3">
      <c r="B41" s="43" t="s">
        <v>9</v>
      </c>
      <c r="C41" s="43"/>
      <c r="D41" s="43" t="s">
        <v>86</v>
      </c>
      <c r="E41" s="43" t="s">
        <v>49</v>
      </c>
      <c r="F41" s="45" t="s">
        <v>52</v>
      </c>
      <c r="G41" s="14">
        <v>2773765</v>
      </c>
      <c r="H41" s="65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2:21" x14ac:dyDescent="0.3">
      <c r="B42" s="43" t="s">
        <v>9</v>
      </c>
      <c r="C42" s="43"/>
      <c r="D42" s="43" t="s">
        <v>87</v>
      </c>
      <c r="E42" s="43" t="s">
        <v>49</v>
      </c>
      <c r="F42" s="44" t="s">
        <v>50</v>
      </c>
      <c r="G42" s="14">
        <v>2963484</v>
      </c>
      <c r="H42" s="65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</row>
    <row r="43" spans="2:21" x14ac:dyDescent="0.3">
      <c r="B43" s="43" t="s">
        <v>9</v>
      </c>
      <c r="C43" s="43"/>
      <c r="D43" s="43" t="s">
        <v>88</v>
      </c>
      <c r="E43" s="43" t="s">
        <v>49</v>
      </c>
      <c r="F43" s="44" t="s">
        <v>50</v>
      </c>
      <c r="G43" s="14">
        <v>436071</v>
      </c>
      <c r="H43" s="65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</row>
    <row r="44" spans="2:21" x14ac:dyDescent="0.3">
      <c r="B44" s="43" t="s">
        <v>9</v>
      </c>
      <c r="C44" s="43"/>
      <c r="D44" s="43" t="s">
        <v>89</v>
      </c>
      <c r="E44" s="43" t="s">
        <v>49</v>
      </c>
      <c r="F44" s="44" t="s">
        <v>50</v>
      </c>
      <c r="G44" s="14">
        <v>717588</v>
      </c>
      <c r="H44" s="65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spans="2:21" x14ac:dyDescent="0.3">
      <c r="B45" s="43" t="s">
        <v>9</v>
      </c>
      <c r="C45" s="43"/>
      <c r="D45" s="43" t="s">
        <v>90</v>
      </c>
      <c r="E45" s="43" t="s">
        <v>49</v>
      </c>
      <c r="F45" s="46" t="s">
        <v>60</v>
      </c>
      <c r="G45" s="14">
        <v>480</v>
      </c>
      <c r="H45" s="65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6" spans="2:21" x14ac:dyDescent="0.3">
      <c r="B46" s="43" t="s">
        <v>9</v>
      </c>
      <c r="C46" s="43"/>
      <c r="D46" s="43" t="s">
        <v>91</v>
      </c>
      <c r="E46" s="43" t="s">
        <v>49</v>
      </c>
      <c r="F46" s="45" t="s">
        <v>52</v>
      </c>
      <c r="G46" s="14">
        <v>82647</v>
      </c>
      <c r="H46" s="65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</row>
    <row r="47" spans="2:21" x14ac:dyDescent="0.3">
      <c r="B47" s="43" t="s">
        <v>9</v>
      </c>
      <c r="C47" s="43"/>
      <c r="D47" s="43" t="s">
        <v>86</v>
      </c>
      <c r="E47" s="55" t="s">
        <v>74</v>
      </c>
      <c r="F47" s="45" t="s">
        <v>52</v>
      </c>
      <c r="G47" s="14">
        <v>10000</v>
      </c>
      <c r="H47" s="65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</row>
    <row r="48" spans="2:21" x14ac:dyDescent="0.3">
      <c r="B48" s="43" t="s">
        <v>9</v>
      </c>
      <c r="C48" s="43"/>
      <c r="D48" s="43" t="s">
        <v>87</v>
      </c>
      <c r="E48" s="55" t="s">
        <v>74</v>
      </c>
      <c r="F48" s="44" t="s">
        <v>50</v>
      </c>
      <c r="G48" s="14">
        <v>5000</v>
      </c>
      <c r="H48" s="65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spans="1:21" x14ac:dyDescent="0.3">
      <c r="B49" s="43" t="s">
        <v>9</v>
      </c>
      <c r="C49" s="43"/>
      <c r="D49" s="43" t="s">
        <v>83</v>
      </c>
      <c r="E49" s="55" t="s">
        <v>74</v>
      </c>
      <c r="F49" s="46" t="s">
        <v>60</v>
      </c>
      <c r="G49" s="14">
        <v>6250</v>
      </c>
      <c r="H49" s="65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1:21" ht="6" customHeight="1" x14ac:dyDescent="0.3">
      <c r="B50" s="62"/>
      <c r="C50" s="62"/>
      <c r="D50" s="62"/>
      <c r="E50" s="62"/>
      <c r="F50" s="13"/>
      <c r="G50" s="13"/>
      <c r="H50" s="63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</row>
    <row r="51" spans="1:21" x14ac:dyDescent="0.3">
      <c r="B51" s="43" t="s">
        <v>17</v>
      </c>
      <c r="C51" s="43"/>
      <c r="D51" s="43" t="s">
        <v>92</v>
      </c>
      <c r="E51" s="43" t="s">
        <v>49</v>
      </c>
      <c r="F51" s="44" t="s">
        <v>50</v>
      </c>
      <c r="G51" s="14">
        <v>34175438</v>
      </c>
      <c r="H51" s="64">
        <f>SUM(G51:G53)</f>
        <v>34923225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spans="1:21" x14ac:dyDescent="0.3">
      <c r="B52" s="43" t="s">
        <v>17</v>
      </c>
      <c r="C52" s="43"/>
      <c r="D52" s="43" t="s">
        <v>93</v>
      </c>
      <c r="E52" s="43" t="s">
        <v>49</v>
      </c>
      <c r="F52" s="44" t="s">
        <v>50</v>
      </c>
      <c r="G52" s="14">
        <v>660528</v>
      </c>
      <c r="H52" s="65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</row>
    <row r="53" spans="1:21" x14ac:dyDescent="0.3">
      <c r="B53" s="43" t="s">
        <v>17</v>
      </c>
      <c r="C53" s="43"/>
      <c r="D53" s="43" t="s">
        <v>94</v>
      </c>
      <c r="E53" s="43" t="s">
        <v>49</v>
      </c>
      <c r="F53" s="46" t="s">
        <v>60</v>
      </c>
      <c r="G53" s="14">
        <v>87259</v>
      </c>
      <c r="H53" s="65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1:21" ht="6" customHeight="1" x14ac:dyDescent="0.3">
      <c r="B54" s="62"/>
      <c r="C54" s="62"/>
      <c r="D54" s="62"/>
      <c r="E54" s="62"/>
      <c r="F54" s="13"/>
      <c r="G54" s="13"/>
      <c r="H54" s="63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</row>
    <row r="55" spans="1:21" x14ac:dyDescent="0.3">
      <c r="B55" s="43" t="s">
        <v>18</v>
      </c>
      <c r="C55" s="43"/>
      <c r="D55" s="43" t="s">
        <v>95</v>
      </c>
      <c r="E55" s="43" t="s">
        <v>49</v>
      </c>
      <c r="F55" s="46" t="s">
        <v>60</v>
      </c>
      <c r="G55" s="14">
        <v>437723</v>
      </c>
      <c r="H55" s="64">
        <f>SUM(G55:G61)</f>
        <v>12908996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</row>
    <row r="56" spans="1:21" x14ac:dyDescent="0.3">
      <c r="B56" s="43" t="s">
        <v>18</v>
      </c>
      <c r="C56" s="43"/>
      <c r="D56" s="43" t="s">
        <v>96</v>
      </c>
      <c r="E56" s="43" t="s">
        <v>49</v>
      </c>
      <c r="F56" s="44" t="s">
        <v>50</v>
      </c>
      <c r="G56" s="14">
        <v>719406</v>
      </c>
      <c r="H56" s="65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</row>
    <row r="57" spans="1:21" ht="28.8" x14ac:dyDescent="0.3">
      <c r="B57" s="43" t="s">
        <v>18</v>
      </c>
      <c r="C57" s="43"/>
      <c r="D57" s="43" t="s">
        <v>97</v>
      </c>
      <c r="E57" s="43" t="s">
        <v>49</v>
      </c>
      <c r="F57" s="44" t="s">
        <v>50</v>
      </c>
      <c r="G57" s="14">
        <v>763200</v>
      </c>
      <c r="H57" s="65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</row>
    <row r="58" spans="1:21" x14ac:dyDescent="0.3">
      <c r="A58" s="1" t="s">
        <v>98</v>
      </c>
      <c r="B58" s="43" t="s">
        <v>18</v>
      </c>
      <c r="C58" s="43"/>
      <c r="D58" s="43" t="s">
        <v>99</v>
      </c>
      <c r="E58" s="43" t="s">
        <v>49</v>
      </c>
      <c r="F58" s="45" t="s">
        <v>52</v>
      </c>
      <c r="G58" s="14">
        <v>10950571</v>
      </c>
      <c r="H58" s="65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</row>
    <row r="59" spans="1:21" x14ac:dyDescent="0.3">
      <c r="B59" s="43" t="s">
        <v>18</v>
      </c>
      <c r="C59" s="43"/>
      <c r="D59" s="43" t="s">
        <v>100</v>
      </c>
      <c r="E59" s="43" t="s">
        <v>74</v>
      </c>
      <c r="F59" s="19" t="s">
        <v>69</v>
      </c>
      <c r="G59" s="14">
        <v>30792</v>
      </c>
      <c r="H59" s="65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</row>
    <row r="60" spans="1:21" x14ac:dyDescent="0.3">
      <c r="B60" s="43" t="s">
        <v>18</v>
      </c>
      <c r="C60" s="43"/>
      <c r="D60" s="43" t="s">
        <v>101</v>
      </c>
      <c r="E60" s="43" t="s">
        <v>74</v>
      </c>
      <c r="F60" s="46" t="s">
        <v>60</v>
      </c>
      <c r="G60" s="14">
        <v>1250</v>
      </c>
      <c r="H60" s="65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</row>
    <row r="61" spans="1:21" x14ac:dyDescent="0.3">
      <c r="B61" s="43"/>
      <c r="C61" s="43"/>
      <c r="D61" s="43"/>
      <c r="E61" s="43" t="s">
        <v>49</v>
      </c>
      <c r="F61" s="46" t="s">
        <v>60</v>
      </c>
      <c r="G61" s="14">
        <v>6054</v>
      </c>
      <c r="H61" s="65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</row>
    <row r="62" spans="1:21" ht="6" customHeight="1" x14ac:dyDescent="0.3">
      <c r="B62" s="62"/>
      <c r="C62" s="62"/>
      <c r="D62" s="62"/>
      <c r="E62" s="62"/>
      <c r="F62" s="13"/>
      <c r="G62" s="13"/>
      <c r="H62" s="63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1:21" x14ac:dyDescent="0.3">
      <c r="B63" s="43" t="s">
        <v>8</v>
      </c>
      <c r="C63" s="43"/>
      <c r="D63" s="43" t="s">
        <v>102</v>
      </c>
      <c r="E63" s="43" t="s">
        <v>74</v>
      </c>
      <c r="F63" s="44" t="s">
        <v>50</v>
      </c>
      <c r="G63" s="14">
        <v>500</v>
      </c>
      <c r="H63" s="70">
        <f>SUM(G63:G65)</f>
        <v>298648</v>
      </c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</row>
    <row r="64" spans="1:21" x14ac:dyDescent="0.3">
      <c r="B64" s="43" t="s">
        <v>8</v>
      </c>
      <c r="C64" s="43"/>
      <c r="D64" s="43" t="s">
        <v>102</v>
      </c>
      <c r="E64" s="43" t="s">
        <v>49</v>
      </c>
      <c r="F64" s="44" t="s">
        <v>50</v>
      </c>
      <c r="G64" s="14">
        <v>270322</v>
      </c>
      <c r="H64" s="71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</row>
    <row r="65" spans="2:21" x14ac:dyDescent="0.3">
      <c r="B65" s="43" t="s">
        <v>8</v>
      </c>
      <c r="C65" s="43"/>
      <c r="D65" s="43" t="s">
        <v>103</v>
      </c>
      <c r="E65" s="43" t="s">
        <v>49</v>
      </c>
      <c r="F65" s="45" t="s">
        <v>52</v>
      </c>
      <c r="G65" s="14">
        <v>27826</v>
      </c>
      <c r="H65" s="72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</row>
    <row r="66" spans="2:21" ht="6" customHeight="1" x14ac:dyDescent="0.3">
      <c r="B66" s="62"/>
      <c r="C66" s="62"/>
      <c r="D66" s="62"/>
      <c r="E66" s="62"/>
      <c r="F66" s="13"/>
      <c r="G66" s="13"/>
      <c r="H66" s="63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</row>
    <row r="67" spans="2:21" x14ac:dyDescent="0.3">
      <c r="B67" s="43" t="s">
        <v>15</v>
      </c>
      <c r="C67" s="43"/>
      <c r="D67" s="43" t="s">
        <v>104</v>
      </c>
      <c r="E67" s="43" t="s">
        <v>49</v>
      </c>
      <c r="F67" s="45" t="s">
        <v>52</v>
      </c>
      <c r="G67" s="14">
        <v>126213</v>
      </c>
      <c r="H67" s="57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</row>
    <row r="68" spans="2:21" x14ac:dyDescent="0.3">
      <c r="B68" s="43" t="s">
        <v>15</v>
      </c>
      <c r="C68" s="43"/>
      <c r="D68" s="43" t="s">
        <v>105</v>
      </c>
      <c r="E68" s="43" t="s">
        <v>49</v>
      </c>
      <c r="F68" s="44" t="s">
        <v>50</v>
      </c>
      <c r="G68" s="14">
        <v>156164</v>
      </c>
      <c r="H68" s="5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</row>
    <row r="69" spans="2:21" x14ac:dyDescent="0.3">
      <c r="B69" s="43" t="s">
        <v>15</v>
      </c>
      <c r="C69" s="43"/>
      <c r="D69" s="43" t="s">
        <v>106</v>
      </c>
      <c r="E69" s="43" t="s">
        <v>49</v>
      </c>
      <c r="F69" s="45" t="s">
        <v>52</v>
      </c>
      <c r="G69" s="14">
        <v>36085</v>
      </c>
      <c r="H69" s="5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</row>
    <row r="70" spans="2:21" ht="6" customHeight="1" x14ac:dyDescent="0.3">
      <c r="B70" s="62"/>
      <c r="C70" s="62"/>
      <c r="D70" s="62"/>
      <c r="E70" s="62"/>
      <c r="F70" s="13"/>
      <c r="G70" s="13"/>
      <c r="H70" s="63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</row>
    <row r="71" spans="2:21" ht="28.8" x14ac:dyDescent="0.3">
      <c r="B71" s="43" t="s">
        <v>16</v>
      </c>
      <c r="C71" s="67" t="s">
        <v>31</v>
      </c>
      <c r="D71" s="43" t="s">
        <v>107</v>
      </c>
      <c r="E71" s="43" t="s">
        <v>49</v>
      </c>
      <c r="F71" s="44" t="s">
        <v>50</v>
      </c>
      <c r="G71" s="14">
        <v>658200</v>
      </c>
      <c r="H71" s="64">
        <f>SUM(G71:G77)</f>
        <v>17478904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</row>
    <row r="72" spans="2:21" ht="28.8" x14ac:dyDescent="0.3">
      <c r="B72" s="43" t="s">
        <v>16</v>
      </c>
      <c r="C72" s="68"/>
      <c r="D72" s="43" t="s">
        <v>107</v>
      </c>
      <c r="E72" s="55" t="s">
        <v>74</v>
      </c>
      <c r="F72" s="44" t="s">
        <v>50</v>
      </c>
      <c r="G72" s="14">
        <v>35668</v>
      </c>
      <c r="H72" s="65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</row>
    <row r="73" spans="2:21" x14ac:dyDescent="0.3">
      <c r="B73" s="43" t="s">
        <v>16</v>
      </c>
      <c r="C73" s="68"/>
      <c r="D73" s="43" t="s">
        <v>108</v>
      </c>
      <c r="E73" s="43" t="s">
        <v>49</v>
      </c>
      <c r="F73" s="44" t="s">
        <v>50</v>
      </c>
      <c r="G73" s="14">
        <v>288899</v>
      </c>
      <c r="H73" s="65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</row>
    <row r="74" spans="2:21" x14ac:dyDescent="0.3">
      <c r="B74" s="43" t="s">
        <v>16</v>
      </c>
      <c r="C74" s="68"/>
      <c r="D74" s="43" t="s">
        <v>109</v>
      </c>
      <c r="E74" s="43" t="s">
        <v>49</v>
      </c>
      <c r="F74" s="44" t="s">
        <v>50</v>
      </c>
      <c r="G74" s="14">
        <v>1954604</v>
      </c>
      <c r="H74" s="65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</row>
    <row r="75" spans="2:21" x14ac:dyDescent="0.3">
      <c r="B75" s="43" t="s">
        <v>16</v>
      </c>
      <c r="C75" s="68"/>
      <c r="D75" s="43" t="s">
        <v>109</v>
      </c>
      <c r="E75" s="55" t="s">
        <v>74</v>
      </c>
      <c r="F75" s="44" t="s">
        <v>50</v>
      </c>
      <c r="G75" s="14">
        <v>5000</v>
      </c>
      <c r="H75" s="65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</row>
    <row r="76" spans="2:21" x14ac:dyDescent="0.3">
      <c r="B76" s="43" t="s">
        <v>16</v>
      </c>
      <c r="C76" s="68"/>
      <c r="D76" s="43" t="s">
        <v>110</v>
      </c>
      <c r="E76" s="43" t="s">
        <v>49</v>
      </c>
      <c r="F76" s="44" t="s">
        <v>50</v>
      </c>
      <c r="G76" s="14">
        <v>14456533</v>
      </c>
      <c r="H76" s="65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</row>
    <row r="77" spans="2:21" x14ac:dyDescent="0.3">
      <c r="B77" s="43" t="s">
        <v>16</v>
      </c>
      <c r="C77" s="69"/>
      <c r="D77" s="43" t="s">
        <v>110</v>
      </c>
      <c r="E77" s="55" t="s">
        <v>74</v>
      </c>
      <c r="F77" s="44" t="s">
        <v>50</v>
      </c>
      <c r="G77" s="14">
        <v>80000</v>
      </c>
      <c r="H77" s="65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2:21" ht="6" customHeight="1" x14ac:dyDescent="0.3">
      <c r="B78" s="62"/>
      <c r="C78" s="62"/>
      <c r="D78" s="62"/>
      <c r="E78" s="62"/>
      <c r="F78" s="13"/>
      <c r="G78" s="13"/>
      <c r="H78" s="63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2:21" x14ac:dyDescent="0.3">
      <c r="B79" s="43" t="s">
        <v>16</v>
      </c>
      <c r="C79" s="67" t="s">
        <v>22</v>
      </c>
      <c r="D79" s="43" t="s">
        <v>111</v>
      </c>
      <c r="E79" s="43" t="s">
        <v>49</v>
      </c>
      <c r="F79" s="44" t="s">
        <v>50</v>
      </c>
      <c r="G79" s="14">
        <v>513889</v>
      </c>
      <c r="H79" s="66">
        <f>SUM(G79:G93)</f>
        <v>4179184</v>
      </c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2:21" x14ac:dyDescent="0.3">
      <c r="B80" s="43" t="s">
        <v>16</v>
      </c>
      <c r="C80" s="68"/>
      <c r="D80" s="43" t="s">
        <v>111</v>
      </c>
      <c r="E80" s="55" t="s">
        <v>74</v>
      </c>
      <c r="F80" s="44" t="s">
        <v>50</v>
      </c>
      <c r="G80" s="14">
        <v>54141</v>
      </c>
      <c r="H80" s="73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2:21" x14ac:dyDescent="0.3">
      <c r="B81" s="43" t="s">
        <v>16</v>
      </c>
      <c r="C81" s="68"/>
      <c r="D81" s="43" t="s">
        <v>112</v>
      </c>
      <c r="E81" s="43" t="s">
        <v>49</v>
      </c>
      <c r="F81" s="44" t="s">
        <v>50</v>
      </c>
      <c r="G81" s="14">
        <v>244669</v>
      </c>
      <c r="H81" s="73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2:21" x14ac:dyDescent="0.3">
      <c r="B82" s="43" t="s">
        <v>16</v>
      </c>
      <c r="C82" s="68"/>
      <c r="D82" s="43" t="s">
        <v>113</v>
      </c>
      <c r="E82" s="43" t="s">
        <v>49</v>
      </c>
      <c r="F82" s="44" t="s">
        <v>50</v>
      </c>
      <c r="G82" s="14">
        <v>65354</v>
      </c>
      <c r="H82" s="73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2:21" x14ac:dyDescent="0.3">
      <c r="B83" s="43" t="s">
        <v>16</v>
      </c>
      <c r="C83" s="68"/>
      <c r="D83" s="43" t="s">
        <v>113</v>
      </c>
      <c r="E83" s="55" t="s">
        <v>74</v>
      </c>
      <c r="F83" s="44" t="s">
        <v>50</v>
      </c>
      <c r="G83" s="14">
        <v>14773</v>
      </c>
      <c r="H83" s="73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2:21" x14ac:dyDescent="0.3">
      <c r="B84" s="43" t="s">
        <v>16</v>
      </c>
      <c r="C84" s="68"/>
      <c r="D84" s="43" t="s">
        <v>114</v>
      </c>
      <c r="E84" s="43" t="s">
        <v>49</v>
      </c>
      <c r="F84" s="44" t="s">
        <v>50</v>
      </c>
      <c r="G84" s="14">
        <v>16325</v>
      </c>
      <c r="H84" s="73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2:21" x14ac:dyDescent="0.3">
      <c r="B85" s="43" t="s">
        <v>16</v>
      </c>
      <c r="C85" s="68"/>
      <c r="D85" s="43" t="s">
        <v>114</v>
      </c>
      <c r="E85" s="55" t="s">
        <v>74</v>
      </c>
      <c r="F85" s="44" t="s">
        <v>50</v>
      </c>
      <c r="G85" s="14">
        <v>22798</v>
      </c>
      <c r="H85" s="73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2:21" x14ac:dyDescent="0.3">
      <c r="B86" s="43" t="s">
        <v>16</v>
      </c>
      <c r="C86" s="68"/>
      <c r="D86" s="43" t="s">
        <v>115</v>
      </c>
      <c r="E86" s="43" t="s">
        <v>49</v>
      </c>
      <c r="F86" s="44" t="s">
        <v>50</v>
      </c>
      <c r="G86" s="14">
        <v>187579</v>
      </c>
      <c r="H86" s="73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2:21" x14ac:dyDescent="0.3">
      <c r="B87" s="43" t="s">
        <v>16</v>
      </c>
      <c r="C87" s="68"/>
      <c r="D87" s="43" t="s">
        <v>115</v>
      </c>
      <c r="E87" s="55" t="s">
        <v>74</v>
      </c>
      <c r="F87" s="44" t="s">
        <v>50</v>
      </c>
      <c r="G87" s="14">
        <v>71754</v>
      </c>
      <c r="H87" s="73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2:21" x14ac:dyDescent="0.3">
      <c r="B88" s="43" t="s">
        <v>16</v>
      </c>
      <c r="C88" s="68"/>
      <c r="D88" s="43" t="s">
        <v>116</v>
      </c>
      <c r="E88" s="43" t="s">
        <v>49</v>
      </c>
      <c r="F88" s="44" t="s">
        <v>50</v>
      </c>
      <c r="G88" s="14">
        <v>1014608</v>
      </c>
      <c r="H88" s="73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2:21" x14ac:dyDescent="0.3">
      <c r="B89" s="43" t="s">
        <v>16</v>
      </c>
      <c r="C89" s="68"/>
      <c r="D89" s="43" t="s">
        <v>116</v>
      </c>
      <c r="E89" s="55" t="s">
        <v>74</v>
      </c>
      <c r="F89" s="44" t="s">
        <v>50</v>
      </c>
      <c r="G89" s="14">
        <v>12096</v>
      </c>
      <c r="H89" s="73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2:21" x14ac:dyDescent="0.3">
      <c r="B90" s="43" t="s">
        <v>16</v>
      </c>
      <c r="C90" s="68"/>
      <c r="D90" s="43" t="s">
        <v>117</v>
      </c>
      <c r="E90" s="43" t="s">
        <v>49</v>
      </c>
      <c r="F90" s="44" t="s">
        <v>50</v>
      </c>
      <c r="G90" s="14">
        <v>369844</v>
      </c>
      <c r="H90" s="73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2:21" x14ac:dyDescent="0.3">
      <c r="B91" s="43" t="s">
        <v>16</v>
      </c>
      <c r="C91" s="68"/>
      <c r="D91" s="43" t="s">
        <v>117</v>
      </c>
      <c r="E91" s="55" t="s">
        <v>74</v>
      </c>
      <c r="F91" s="44" t="s">
        <v>50</v>
      </c>
      <c r="G91" s="14">
        <v>115000</v>
      </c>
      <c r="H91" s="73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2:21" x14ac:dyDescent="0.3">
      <c r="B92" s="43" t="s">
        <v>16</v>
      </c>
      <c r="C92" s="68"/>
      <c r="D92" s="43" t="s">
        <v>118</v>
      </c>
      <c r="E92" s="43" t="s">
        <v>49</v>
      </c>
      <c r="F92" s="44" t="s">
        <v>50</v>
      </c>
      <c r="G92" s="14">
        <v>1451417</v>
      </c>
      <c r="H92" s="73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2:21" x14ac:dyDescent="0.3">
      <c r="B93" s="43" t="s">
        <v>16</v>
      </c>
      <c r="C93" s="69"/>
      <c r="D93" s="43" t="s">
        <v>118</v>
      </c>
      <c r="E93" s="55" t="s">
        <v>74</v>
      </c>
      <c r="F93" s="44" t="s">
        <v>50</v>
      </c>
      <c r="G93" s="14">
        <v>24937</v>
      </c>
      <c r="H93" s="73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2:21" ht="6" customHeight="1" x14ac:dyDescent="0.3">
      <c r="B94" s="62"/>
      <c r="C94" s="62"/>
      <c r="D94" s="62"/>
      <c r="E94" s="62"/>
      <c r="F94" s="13"/>
      <c r="G94" s="13"/>
      <c r="H94" s="63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2:21" x14ac:dyDescent="0.3">
      <c r="B95" s="43" t="s">
        <v>16</v>
      </c>
      <c r="C95" s="67" t="s">
        <v>20</v>
      </c>
      <c r="D95" s="43" t="s">
        <v>119</v>
      </c>
      <c r="E95" s="43" t="s">
        <v>49</v>
      </c>
      <c r="F95" s="44" t="s">
        <v>50</v>
      </c>
      <c r="G95" s="14">
        <v>320154</v>
      </c>
      <c r="H95" s="64">
        <f>SUM(G95:G99)</f>
        <v>1844776</v>
      </c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2:21" x14ac:dyDescent="0.3">
      <c r="B96" s="43" t="s">
        <v>16</v>
      </c>
      <c r="C96" s="68"/>
      <c r="D96" s="43" t="s">
        <v>120</v>
      </c>
      <c r="E96" s="43" t="s">
        <v>49</v>
      </c>
      <c r="F96" s="44" t="s">
        <v>50</v>
      </c>
      <c r="G96" s="14">
        <v>665820</v>
      </c>
      <c r="H96" s="65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2:21" ht="28.8" x14ac:dyDescent="0.3">
      <c r="B97" s="43" t="s">
        <v>16</v>
      </c>
      <c r="C97" s="68"/>
      <c r="D97" s="43" t="s">
        <v>121</v>
      </c>
      <c r="E97" s="55" t="s">
        <v>74</v>
      </c>
      <c r="F97" s="45" t="s">
        <v>52</v>
      </c>
      <c r="G97" s="14">
        <v>96605</v>
      </c>
      <c r="H97" s="65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2:21" x14ac:dyDescent="0.3">
      <c r="B98" s="43" t="s">
        <v>16</v>
      </c>
      <c r="C98" s="68"/>
      <c r="D98" s="43" t="s">
        <v>122</v>
      </c>
      <c r="E98" s="43" t="s">
        <v>49</v>
      </c>
      <c r="F98" s="45" t="s">
        <v>52</v>
      </c>
      <c r="G98" s="14">
        <v>747301</v>
      </c>
      <c r="H98" s="65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2:21" x14ac:dyDescent="0.3">
      <c r="B99" s="43" t="s">
        <v>16</v>
      </c>
      <c r="C99" s="69"/>
      <c r="D99" s="43" t="s">
        <v>122</v>
      </c>
      <c r="E99" s="55" t="s">
        <v>74</v>
      </c>
      <c r="F99" s="45" t="s">
        <v>52</v>
      </c>
      <c r="G99" s="14">
        <v>14896</v>
      </c>
      <c r="H99" s="65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2:21" ht="6" customHeight="1" x14ac:dyDescent="0.3">
      <c r="B100" s="62"/>
      <c r="C100" s="62"/>
      <c r="D100" s="62"/>
      <c r="E100" s="62"/>
      <c r="F100" s="13"/>
      <c r="G100" s="13"/>
      <c r="H100" s="63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2:21" x14ac:dyDescent="0.3">
      <c r="B101" s="43" t="s">
        <v>16</v>
      </c>
      <c r="C101" s="67" t="s">
        <v>28</v>
      </c>
      <c r="D101" s="43" t="s">
        <v>123</v>
      </c>
      <c r="E101" s="43" t="s">
        <v>49</v>
      </c>
      <c r="F101" s="44" t="s">
        <v>50</v>
      </c>
      <c r="G101" s="14">
        <v>155507</v>
      </c>
      <c r="H101" s="64">
        <f>SUM(G101:G105)</f>
        <v>2617145</v>
      </c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2:21" x14ac:dyDescent="0.3">
      <c r="B102" s="43" t="s">
        <v>16</v>
      </c>
      <c r="C102" s="68"/>
      <c r="D102" s="43" t="s">
        <v>124</v>
      </c>
      <c r="E102" s="43" t="s">
        <v>49</v>
      </c>
      <c r="F102" s="45" t="s">
        <v>52</v>
      </c>
      <c r="G102" s="14">
        <v>377377</v>
      </c>
      <c r="H102" s="65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2:21" x14ac:dyDescent="0.3">
      <c r="B103" s="43" t="s">
        <v>16</v>
      </c>
      <c r="C103" s="68"/>
      <c r="D103" s="43" t="s">
        <v>125</v>
      </c>
      <c r="E103" s="43" t="s">
        <v>49</v>
      </c>
      <c r="F103" s="45" t="s">
        <v>52</v>
      </c>
      <c r="G103" s="14">
        <v>524579</v>
      </c>
      <c r="H103" s="6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2:21" x14ac:dyDescent="0.3">
      <c r="B104" s="43" t="s">
        <v>16</v>
      </c>
      <c r="C104" s="68"/>
      <c r="D104" s="43" t="s">
        <v>126</v>
      </c>
      <c r="E104" s="43" t="s">
        <v>49</v>
      </c>
      <c r="F104" s="44" t="s">
        <v>50</v>
      </c>
      <c r="G104" s="14">
        <v>1552076</v>
      </c>
      <c r="H104" s="6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2:21" x14ac:dyDescent="0.3">
      <c r="B105" s="43" t="s">
        <v>16</v>
      </c>
      <c r="C105" s="69"/>
      <c r="D105" s="43" t="s">
        <v>127</v>
      </c>
      <c r="E105" s="43" t="s">
        <v>49</v>
      </c>
      <c r="F105" s="46" t="s">
        <v>60</v>
      </c>
      <c r="G105" s="14">
        <v>7606</v>
      </c>
      <c r="H105" s="6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2:21" x14ac:dyDescent="0.3">
      <c r="B106" s="43" t="s">
        <v>16</v>
      </c>
      <c r="C106" s="43"/>
      <c r="D106" s="43"/>
      <c r="E106" s="43"/>
      <c r="F106" s="46"/>
      <c r="G106" s="14"/>
      <c r="H106" s="57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2:21" x14ac:dyDescent="0.3">
      <c r="B107" s="43"/>
      <c r="C107" s="43"/>
      <c r="D107" s="43"/>
      <c r="E107" s="43"/>
      <c r="F107" s="46"/>
      <c r="G107" s="14"/>
      <c r="H107" s="57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2:21" x14ac:dyDescent="0.3">
      <c r="B108" s="43"/>
      <c r="C108" s="43"/>
      <c r="D108" s="43"/>
      <c r="E108" s="43"/>
      <c r="F108" s="46"/>
      <c r="G108" s="14"/>
      <c r="H108" s="5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2:21" x14ac:dyDescent="0.3">
      <c r="B109" s="43"/>
      <c r="C109" s="43"/>
      <c r="D109" s="43"/>
      <c r="E109" s="43"/>
      <c r="F109" s="44"/>
      <c r="G109" s="14"/>
      <c r="H109" s="57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2:21" x14ac:dyDescent="0.3">
      <c r="B110" s="42"/>
      <c r="C110" s="42"/>
      <c r="D110" s="54"/>
      <c r="E110" s="42"/>
      <c r="F110" s="42"/>
      <c r="G110" s="42">
        <v>127994926</v>
      </c>
      <c r="H110" s="57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7" spans="4:7" x14ac:dyDescent="0.3">
      <c r="D117" s="1" t="s">
        <v>34</v>
      </c>
      <c r="E117" s="61"/>
      <c r="F117" s="61">
        <v>2423001</v>
      </c>
      <c r="G117" s="61"/>
    </row>
    <row r="118" spans="4:7" x14ac:dyDescent="0.3">
      <c r="D118" s="1" t="s">
        <v>128</v>
      </c>
      <c r="E118" s="61">
        <v>4760000</v>
      </c>
      <c r="F118" s="61"/>
      <c r="G118" s="61"/>
    </row>
    <row r="119" spans="4:7" x14ac:dyDescent="0.3">
      <c r="D119" s="1" t="s">
        <v>36</v>
      </c>
      <c r="E119" s="61"/>
      <c r="F119" s="61"/>
      <c r="G119" s="61"/>
    </row>
    <row r="120" spans="4:7" x14ac:dyDescent="0.3">
      <c r="D120" s="1" t="s">
        <v>37</v>
      </c>
      <c r="E120" s="61"/>
      <c r="F120" s="61"/>
      <c r="G120" s="61"/>
    </row>
    <row r="121" spans="4:7" x14ac:dyDescent="0.3">
      <c r="D121" s="1" t="s">
        <v>32</v>
      </c>
      <c r="E121" s="61">
        <v>3049127.2</v>
      </c>
      <c r="F121" s="61"/>
      <c r="G121" s="61"/>
    </row>
    <row r="122" spans="4:7" x14ac:dyDescent="0.3">
      <c r="D122" s="1" t="s">
        <v>33</v>
      </c>
      <c r="E122" s="61">
        <v>995000</v>
      </c>
      <c r="F122" s="61">
        <v>4380888.26</v>
      </c>
      <c r="G122" s="61"/>
    </row>
    <row r="123" spans="4:7" x14ac:dyDescent="0.3">
      <c r="D123" s="1" t="s">
        <v>38</v>
      </c>
      <c r="E123" s="61">
        <v>2229609</v>
      </c>
      <c r="F123" s="61"/>
      <c r="G123" s="61"/>
    </row>
    <row r="124" spans="4:7" x14ac:dyDescent="0.3">
      <c r="D124" s="1" t="s">
        <v>39</v>
      </c>
      <c r="E124" s="61">
        <v>510045.93</v>
      </c>
      <c r="F124" s="61"/>
      <c r="G124" s="61"/>
    </row>
    <row r="125" spans="4:7" x14ac:dyDescent="0.3">
      <c r="D125" s="1" t="s">
        <v>40</v>
      </c>
      <c r="E125" s="61">
        <v>18674838.969999999</v>
      </c>
      <c r="F125" s="61">
        <v>34071658.259999998</v>
      </c>
      <c r="G125" s="61"/>
    </row>
    <row r="126" spans="4:7" x14ac:dyDescent="0.3">
      <c r="D126" s="1" t="s">
        <v>41</v>
      </c>
      <c r="E126" s="61">
        <v>12565711</v>
      </c>
      <c r="F126" s="61">
        <v>32000000</v>
      </c>
      <c r="G126" s="61"/>
    </row>
    <row r="127" spans="4:7" x14ac:dyDescent="0.3">
      <c r="D127" s="1" t="s">
        <v>42</v>
      </c>
      <c r="E127" s="61">
        <v>78300000</v>
      </c>
      <c r="F127" s="61"/>
      <c r="G127" s="61"/>
    </row>
    <row r="128" spans="4:7" x14ac:dyDescent="0.3">
      <c r="D128" s="1" t="s">
        <v>43</v>
      </c>
      <c r="E128" s="61">
        <v>207100</v>
      </c>
      <c r="F128" s="61">
        <v>5081763.3099999996</v>
      </c>
      <c r="G128" s="61"/>
    </row>
    <row r="129" spans="4:7" x14ac:dyDescent="0.3">
      <c r="D129" s="1" t="s">
        <v>44</v>
      </c>
      <c r="E129" s="61">
        <v>584369</v>
      </c>
      <c r="F129" s="61">
        <v>3214157</v>
      </c>
      <c r="G129" s="61"/>
    </row>
    <row r="130" spans="4:7" x14ac:dyDescent="0.3">
      <c r="E130" s="61"/>
      <c r="F130" s="61"/>
      <c r="G130" s="61"/>
    </row>
    <row r="131" spans="4:7" x14ac:dyDescent="0.3">
      <c r="E131" s="61"/>
      <c r="F131" s="61"/>
      <c r="G131" s="61"/>
    </row>
  </sheetData>
  <mergeCells count="14">
    <mergeCell ref="H101:H105"/>
    <mergeCell ref="H4:H14"/>
    <mergeCell ref="H16:H30"/>
    <mergeCell ref="H32:H49"/>
    <mergeCell ref="C71:C77"/>
    <mergeCell ref="C79:C93"/>
    <mergeCell ref="C95:C99"/>
    <mergeCell ref="C101:C105"/>
    <mergeCell ref="H63:H65"/>
    <mergeCell ref="H51:H53"/>
    <mergeCell ref="H55:H61"/>
    <mergeCell ref="H71:H77"/>
    <mergeCell ref="H79:H93"/>
    <mergeCell ref="H95:H9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E4F1-09DF-4215-B6AA-C378244170CC}">
  <dimension ref="A1:F214"/>
  <sheetViews>
    <sheetView workbookViewId="0">
      <pane ySplit="12" topLeftCell="A57" activePane="bottomLeft" state="frozen"/>
      <selection pane="bottomLeft" activeCell="E100" sqref="E100"/>
    </sheetView>
  </sheetViews>
  <sheetFormatPr defaultRowHeight="14.4" x14ac:dyDescent="0.3"/>
  <cols>
    <col min="1" max="1" width="28" style="53" customWidth="1"/>
    <col min="2" max="2" width="62" customWidth="1"/>
    <col min="3" max="3" width="46" customWidth="1"/>
    <col min="4" max="4" width="62" customWidth="1"/>
    <col min="5" max="5" width="18" customWidth="1"/>
    <col min="6" max="6" width="14" customWidth="1"/>
  </cols>
  <sheetData>
    <row r="1" spans="1:6" ht="17.25" customHeight="1" x14ac:dyDescent="0.35">
      <c r="A1" s="47" t="s">
        <v>129</v>
      </c>
    </row>
    <row r="3" spans="1:6" x14ac:dyDescent="0.3">
      <c r="A3" s="83" t="s">
        <v>130</v>
      </c>
      <c r="B3" s="84"/>
      <c r="C3" s="84"/>
      <c r="D3" s="84"/>
      <c r="E3" s="84"/>
      <c r="F3" s="84"/>
    </row>
    <row r="4" spans="1:6" x14ac:dyDescent="0.3">
      <c r="A4" s="83" t="s">
        <v>131</v>
      </c>
      <c r="B4" s="84"/>
      <c r="C4" s="84"/>
      <c r="D4" s="84"/>
      <c r="E4" s="84"/>
      <c r="F4" s="84"/>
    </row>
    <row r="5" spans="1:6" x14ac:dyDescent="0.3">
      <c r="A5" s="83" t="s">
        <v>132</v>
      </c>
      <c r="B5" s="84"/>
      <c r="C5" s="84"/>
      <c r="D5" s="84"/>
      <c r="E5" s="84"/>
      <c r="F5" s="84"/>
    </row>
    <row r="6" spans="1:6" x14ac:dyDescent="0.3">
      <c r="A6" s="83" t="s">
        <v>133</v>
      </c>
      <c r="B6" s="84"/>
      <c r="C6" s="84"/>
      <c r="D6" s="84"/>
      <c r="E6" s="84"/>
      <c r="F6" s="84"/>
    </row>
    <row r="7" spans="1:6" x14ac:dyDescent="0.3">
      <c r="A7" s="83" t="s">
        <v>134</v>
      </c>
      <c r="B7" s="84"/>
      <c r="C7" s="84"/>
      <c r="D7" s="84"/>
      <c r="E7" s="84"/>
      <c r="F7" s="84"/>
    </row>
    <row r="8" spans="1:6" x14ac:dyDescent="0.3">
      <c r="A8" s="83" t="s">
        <v>135</v>
      </c>
      <c r="B8" s="84"/>
      <c r="C8" s="84"/>
      <c r="D8" s="84"/>
      <c r="E8" s="84"/>
      <c r="F8" s="84"/>
    </row>
    <row r="9" spans="1:6" x14ac:dyDescent="0.3">
      <c r="A9" s="83" t="s">
        <v>136</v>
      </c>
      <c r="B9" s="84"/>
      <c r="C9" s="84"/>
      <c r="D9" s="84"/>
      <c r="E9" s="84"/>
      <c r="F9" s="84"/>
    </row>
    <row r="10" spans="1:6" x14ac:dyDescent="0.3">
      <c r="A10" s="83" t="s">
        <v>137</v>
      </c>
      <c r="B10" s="84"/>
      <c r="C10" s="84"/>
      <c r="D10" s="84"/>
      <c r="E10" s="84"/>
      <c r="F10" s="84"/>
    </row>
    <row r="12" spans="1:6" x14ac:dyDescent="0.3">
      <c r="A12" s="48" t="s">
        <v>138</v>
      </c>
      <c r="B12" s="48" t="s">
        <v>139</v>
      </c>
      <c r="C12" s="48" t="s">
        <v>140</v>
      </c>
      <c r="D12" s="48" t="s">
        <v>141</v>
      </c>
      <c r="E12" s="48" t="s">
        <v>142</v>
      </c>
    </row>
    <row r="13" spans="1:6" ht="24" customHeight="1" x14ac:dyDescent="0.3">
      <c r="A13" s="49" t="s">
        <v>143</v>
      </c>
      <c r="B13" s="49" t="s">
        <v>48</v>
      </c>
      <c r="C13" s="49" t="s">
        <v>144</v>
      </c>
      <c r="D13" s="49" t="s">
        <v>48</v>
      </c>
      <c r="E13" s="50" t="s">
        <v>145</v>
      </c>
    </row>
    <row r="14" spans="1:6" ht="24" customHeight="1" x14ac:dyDescent="0.3">
      <c r="A14" s="49" t="s">
        <v>146</v>
      </c>
      <c r="B14" s="49" t="s">
        <v>51</v>
      </c>
      <c r="C14" s="49" t="s">
        <v>144</v>
      </c>
      <c r="D14" s="49" t="s">
        <v>147</v>
      </c>
      <c r="E14" s="50" t="s">
        <v>145</v>
      </c>
    </row>
    <row r="15" spans="1:6" x14ac:dyDescent="0.3">
      <c r="A15" s="49" t="s">
        <v>148</v>
      </c>
      <c r="B15" s="49" t="s">
        <v>53</v>
      </c>
      <c r="C15" s="49" t="s">
        <v>144</v>
      </c>
      <c r="D15" s="49" t="s">
        <v>53</v>
      </c>
      <c r="E15" s="50" t="s">
        <v>145</v>
      </c>
    </row>
    <row r="16" spans="1:6" ht="24" customHeight="1" x14ac:dyDescent="0.3">
      <c r="A16" s="49" t="s">
        <v>149</v>
      </c>
      <c r="B16" s="49" t="s">
        <v>54</v>
      </c>
      <c r="C16" s="49" t="s">
        <v>144</v>
      </c>
      <c r="D16" s="49" t="s">
        <v>54</v>
      </c>
      <c r="E16" s="50" t="s">
        <v>145</v>
      </c>
    </row>
    <row r="17" spans="1:5" x14ac:dyDescent="0.3">
      <c r="A17" s="49" t="s">
        <v>150</v>
      </c>
      <c r="B17" s="49" t="s">
        <v>55</v>
      </c>
      <c r="C17" s="49" t="s">
        <v>144</v>
      </c>
      <c r="D17" s="49" t="s">
        <v>151</v>
      </c>
      <c r="E17" s="50" t="s">
        <v>145</v>
      </c>
    </row>
    <row r="18" spans="1:5" x14ac:dyDescent="0.3">
      <c r="A18" s="49" t="s">
        <v>152</v>
      </c>
      <c r="B18" s="49" t="s">
        <v>56</v>
      </c>
      <c r="C18" s="49" t="s">
        <v>144</v>
      </c>
      <c r="D18" s="49" t="s">
        <v>56</v>
      </c>
      <c r="E18" s="50" t="s">
        <v>145</v>
      </c>
    </row>
    <row r="19" spans="1:5" x14ac:dyDescent="0.3">
      <c r="A19" s="49" t="s">
        <v>153</v>
      </c>
      <c r="B19" s="49" t="s">
        <v>154</v>
      </c>
      <c r="C19" s="49"/>
      <c r="D19" s="49" t="s">
        <v>155</v>
      </c>
      <c r="E19" s="50" t="s">
        <v>156</v>
      </c>
    </row>
    <row r="20" spans="1:5" x14ac:dyDescent="0.3">
      <c r="A20" s="49" t="s">
        <v>157</v>
      </c>
      <c r="B20" s="49" t="s">
        <v>154</v>
      </c>
      <c r="C20" s="49"/>
      <c r="D20" s="49" t="s">
        <v>155</v>
      </c>
      <c r="E20" s="50" t="s">
        <v>156</v>
      </c>
    </row>
    <row r="21" spans="1:5" x14ac:dyDescent="0.3">
      <c r="A21" s="49" t="s">
        <v>158</v>
      </c>
      <c r="B21" s="49" t="s">
        <v>154</v>
      </c>
      <c r="C21" s="49"/>
      <c r="D21" s="49" t="s">
        <v>155</v>
      </c>
      <c r="E21" s="50" t="s">
        <v>156</v>
      </c>
    </row>
    <row r="22" spans="1:5" x14ac:dyDescent="0.3">
      <c r="A22" s="49" t="s">
        <v>159</v>
      </c>
      <c r="B22" s="49" t="s">
        <v>154</v>
      </c>
      <c r="C22" s="49"/>
      <c r="D22" s="49" t="s">
        <v>155</v>
      </c>
      <c r="E22" s="50" t="s">
        <v>156</v>
      </c>
    </row>
    <row r="23" spans="1:5" x14ac:dyDescent="0.3">
      <c r="A23" s="49" t="s">
        <v>160</v>
      </c>
      <c r="B23" s="49" t="s">
        <v>154</v>
      </c>
      <c r="C23" s="49"/>
      <c r="D23" s="49" t="s">
        <v>155</v>
      </c>
      <c r="E23" s="50" t="s">
        <v>156</v>
      </c>
    </row>
    <row r="24" spans="1:5" x14ac:dyDescent="0.3">
      <c r="A24" s="49" t="s">
        <v>161</v>
      </c>
      <c r="B24" s="49" t="s">
        <v>62</v>
      </c>
      <c r="C24" s="49" t="s">
        <v>162</v>
      </c>
      <c r="D24" s="49" t="s">
        <v>62</v>
      </c>
      <c r="E24" s="50" t="s">
        <v>145</v>
      </c>
    </row>
    <row r="25" spans="1:5" ht="24" customHeight="1" x14ac:dyDescent="0.3">
      <c r="A25" s="49" t="s">
        <v>163</v>
      </c>
      <c r="B25" s="49" t="s">
        <v>63</v>
      </c>
      <c r="C25" s="49" t="s">
        <v>162</v>
      </c>
      <c r="D25" s="49" t="s">
        <v>63</v>
      </c>
      <c r="E25" s="50" t="s">
        <v>145</v>
      </c>
    </row>
    <row r="26" spans="1:5" x14ac:dyDescent="0.3">
      <c r="A26" s="49" t="s">
        <v>164</v>
      </c>
      <c r="B26" s="49" t="s">
        <v>64</v>
      </c>
      <c r="C26" s="49" t="s">
        <v>162</v>
      </c>
      <c r="D26" s="49" t="s">
        <v>64</v>
      </c>
      <c r="E26" s="50" t="s">
        <v>145</v>
      </c>
    </row>
    <row r="27" spans="1:5" ht="24" customHeight="1" x14ac:dyDescent="0.3">
      <c r="A27" s="49" t="s">
        <v>165</v>
      </c>
      <c r="B27" s="49" t="s">
        <v>65</v>
      </c>
      <c r="C27" s="49" t="s">
        <v>162</v>
      </c>
      <c r="D27" s="49" t="s">
        <v>65</v>
      </c>
      <c r="E27" s="50" t="s">
        <v>145</v>
      </c>
    </row>
    <row r="28" spans="1:5" x14ac:dyDescent="0.3">
      <c r="A28" s="49" t="s">
        <v>166</v>
      </c>
      <c r="B28" s="49" t="s">
        <v>66</v>
      </c>
      <c r="C28" s="49" t="s">
        <v>162</v>
      </c>
      <c r="D28" s="49" t="s">
        <v>167</v>
      </c>
      <c r="E28" s="50" t="s">
        <v>145</v>
      </c>
    </row>
    <row r="29" spans="1:5" x14ac:dyDescent="0.3">
      <c r="A29" s="49" t="s">
        <v>168</v>
      </c>
      <c r="B29" s="49" t="s">
        <v>67</v>
      </c>
      <c r="C29" s="49" t="s">
        <v>162</v>
      </c>
      <c r="D29" s="49" t="s">
        <v>169</v>
      </c>
      <c r="E29" s="50" t="s">
        <v>170</v>
      </c>
    </row>
    <row r="30" spans="1:5" ht="24" customHeight="1" x14ac:dyDescent="0.3">
      <c r="A30" s="49" t="s">
        <v>171</v>
      </c>
      <c r="B30" s="49" t="s">
        <v>73</v>
      </c>
      <c r="C30" s="49" t="s">
        <v>162</v>
      </c>
      <c r="D30" s="49" t="s">
        <v>73</v>
      </c>
      <c r="E30" s="50" t="s">
        <v>145</v>
      </c>
    </row>
    <row r="31" spans="1:5" x14ac:dyDescent="0.3">
      <c r="A31" s="49" t="s">
        <v>172</v>
      </c>
      <c r="B31" s="49" t="s">
        <v>70</v>
      </c>
      <c r="C31" s="49" t="s">
        <v>162</v>
      </c>
      <c r="D31" s="49" t="s">
        <v>70</v>
      </c>
      <c r="E31" s="50" t="s">
        <v>145</v>
      </c>
    </row>
    <row r="32" spans="1:5" x14ac:dyDescent="0.3">
      <c r="A32" s="49" t="s">
        <v>173</v>
      </c>
      <c r="B32" s="49" t="s">
        <v>71</v>
      </c>
      <c r="C32" s="49" t="s">
        <v>162</v>
      </c>
      <c r="D32" s="49" t="s">
        <v>71</v>
      </c>
      <c r="E32" s="50" t="s">
        <v>145</v>
      </c>
    </row>
    <row r="33" spans="1:5" x14ac:dyDescent="0.3">
      <c r="A33" s="49" t="s">
        <v>174</v>
      </c>
      <c r="B33" s="49" t="s">
        <v>72</v>
      </c>
      <c r="C33" s="49" t="s">
        <v>162</v>
      </c>
      <c r="D33" s="49" t="s">
        <v>72</v>
      </c>
      <c r="E33" s="50" t="s">
        <v>145</v>
      </c>
    </row>
    <row r="34" spans="1:5" ht="24" customHeight="1" x14ac:dyDescent="0.3">
      <c r="A34" s="49" t="s">
        <v>175</v>
      </c>
      <c r="B34" s="49" t="s">
        <v>68</v>
      </c>
      <c r="C34" s="49"/>
      <c r="D34" s="49" t="s">
        <v>176</v>
      </c>
      <c r="E34" s="50" t="s">
        <v>177</v>
      </c>
    </row>
    <row r="35" spans="1:5" ht="24" customHeight="1" x14ac:dyDescent="0.3">
      <c r="A35" s="49" t="s">
        <v>178</v>
      </c>
      <c r="B35" s="49" t="s">
        <v>75</v>
      </c>
      <c r="C35" s="49"/>
      <c r="D35" s="49" t="s">
        <v>176</v>
      </c>
      <c r="E35" s="50" t="s">
        <v>177</v>
      </c>
    </row>
    <row r="36" spans="1:5" x14ac:dyDescent="0.3">
      <c r="A36" s="49" t="s">
        <v>179</v>
      </c>
      <c r="B36" s="49" t="s">
        <v>180</v>
      </c>
      <c r="C36" s="49"/>
      <c r="D36" s="49" t="s">
        <v>176</v>
      </c>
      <c r="E36" s="50" t="s">
        <v>177</v>
      </c>
    </row>
    <row r="37" spans="1:5" ht="24" customHeight="1" x14ac:dyDescent="0.3">
      <c r="A37" s="49" t="s">
        <v>181</v>
      </c>
      <c r="B37" s="49" t="s">
        <v>77</v>
      </c>
      <c r="C37" s="49" t="s">
        <v>182</v>
      </c>
      <c r="D37" s="49" t="s">
        <v>77</v>
      </c>
      <c r="E37" s="50" t="s">
        <v>145</v>
      </c>
    </row>
    <row r="38" spans="1:5" x14ac:dyDescent="0.3">
      <c r="A38" s="49" t="s">
        <v>183</v>
      </c>
      <c r="B38" s="49" t="s">
        <v>78</v>
      </c>
      <c r="C38" s="49" t="s">
        <v>182</v>
      </c>
      <c r="D38" s="49" t="s">
        <v>78</v>
      </c>
      <c r="E38" s="50" t="s">
        <v>145</v>
      </c>
    </row>
    <row r="39" spans="1:5" x14ac:dyDescent="0.3">
      <c r="A39" s="49" t="s">
        <v>184</v>
      </c>
      <c r="B39" s="49" t="s">
        <v>79</v>
      </c>
      <c r="C39" s="49" t="s">
        <v>182</v>
      </c>
      <c r="D39" s="49" t="s">
        <v>185</v>
      </c>
      <c r="E39" s="50" t="s">
        <v>170</v>
      </c>
    </row>
    <row r="40" spans="1:5" x14ac:dyDescent="0.3">
      <c r="A40" s="49" t="s">
        <v>186</v>
      </c>
      <c r="B40" s="49" t="s">
        <v>80</v>
      </c>
      <c r="C40" s="49" t="s">
        <v>182</v>
      </c>
      <c r="D40" s="49" t="s">
        <v>187</v>
      </c>
      <c r="E40" s="50" t="s">
        <v>170</v>
      </c>
    </row>
    <row r="41" spans="1:5" x14ac:dyDescent="0.3">
      <c r="A41" s="49" t="s">
        <v>188</v>
      </c>
      <c r="B41" s="49" t="s">
        <v>81</v>
      </c>
      <c r="C41" s="49" t="s">
        <v>182</v>
      </c>
      <c r="D41" s="49" t="s">
        <v>189</v>
      </c>
      <c r="E41" s="50" t="s">
        <v>170</v>
      </c>
    </row>
    <row r="42" spans="1:5" x14ac:dyDescent="0.3">
      <c r="A42" s="49" t="s">
        <v>190</v>
      </c>
      <c r="B42" s="49" t="s">
        <v>82</v>
      </c>
      <c r="C42" s="49" t="s">
        <v>182</v>
      </c>
      <c r="D42" s="49" t="s">
        <v>191</v>
      </c>
      <c r="E42" s="50" t="s">
        <v>170</v>
      </c>
    </row>
    <row r="43" spans="1:5" x14ac:dyDescent="0.3">
      <c r="A43" s="49" t="s">
        <v>192</v>
      </c>
      <c r="B43" s="49" t="s">
        <v>83</v>
      </c>
      <c r="C43" s="49" t="s">
        <v>182</v>
      </c>
      <c r="D43" s="49" t="s">
        <v>193</v>
      </c>
      <c r="E43" s="50" t="s">
        <v>145</v>
      </c>
    </row>
    <row r="44" spans="1:5" x14ac:dyDescent="0.3">
      <c r="A44" s="49" t="s">
        <v>194</v>
      </c>
      <c r="B44" s="49" t="s">
        <v>84</v>
      </c>
      <c r="C44" s="49" t="s">
        <v>182</v>
      </c>
      <c r="D44" s="49" t="s">
        <v>84</v>
      </c>
      <c r="E44" s="50" t="s">
        <v>145</v>
      </c>
    </row>
    <row r="45" spans="1:5" x14ac:dyDescent="0.3">
      <c r="A45" s="49" t="s">
        <v>195</v>
      </c>
      <c r="B45" s="49" t="s">
        <v>85</v>
      </c>
      <c r="C45" s="49" t="s">
        <v>182</v>
      </c>
      <c r="D45" s="49" t="s">
        <v>85</v>
      </c>
      <c r="E45" s="50" t="s">
        <v>145</v>
      </c>
    </row>
    <row r="46" spans="1:5" x14ac:dyDescent="0.3">
      <c r="A46" s="49" t="s">
        <v>196</v>
      </c>
      <c r="B46" s="49" t="s">
        <v>86</v>
      </c>
      <c r="C46" s="49" t="s">
        <v>182</v>
      </c>
      <c r="D46" s="49" t="s">
        <v>86</v>
      </c>
      <c r="E46" s="50" t="s">
        <v>145</v>
      </c>
    </row>
    <row r="47" spans="1:5" x14ac:dyDescent="0.3">
      <c r="A47" s="49" t="s">
        <v>197</v>
      </c>
      <c r="B47" s="49" t="s">
        <v>198</v>
      </c>
      <c r="C47" s="49" t="s">
        <v>182</v>
      </c>
      <c r="D47" s="49" t="s">
        <v>198</v>
      </c>
      <c r="E47" s="50" t="s">
        <v>145</v>
      </c>
    </row>
    <row r="48" spans="1:5" ht="24" customHeight="1" x14ac:dyDescent="0.3">
      <c r="A48" s="49" t="s">
        <v>199</v>
      </c>
      <c r="B48" s="49" t="s">
        <v>87</v>
      </c>
      <c r="C48" s="49" t="s">
        <v>182</v>
      </c>
      <c r="D48" s="49" t="s">
        <v>87</v>
      </c>
      <c r="E48" s="50" t="s">
        <v>145</v>
      </c>
    </row>
    <row r="49" spans="1:5" ht="24" customHeight="1" x14ac:dyDescent="0.3">
      <c r="A49" s="49" t="s">
        <v>200</v>
      </c>
      <c r="B49" s="49" t="s">
        <v>88</v>
      </c>
      <c r="C49" s="49" t="s">
        <v>182</v>
      </c>
      <c r="D49" s="49" t="s">
        <v>88</v>
      </c>
      <c r="E49" s="50" t="s">
        <v>145</v>
      </c>
    </row>
    <row r="50" spans="1:5" x14ac:dyDescent="0.3">
      <c r="A50" s="49" t="s">
        <v>201</v>
      </c>
      <c r="B50" s="49" t="s">
        <v>89</v>
      </c>
      <c r="C50" s="49" t="s">
        <v>182</v>
      </c>
      <c r="D50" s="49" t="s">
        <v>202</v>
      </c>
      <c r="E50" s="50" t="s">
        <v>145</v>
      </c>
    </row>
    <row r="51" spans="1:5" x14ac:dyDescent="0.3">
      <c r="A51" s="49" t="s">
        <v>203</v>
      </c>
      <c r="B51" s="49" t="s">
        <v>90</v>
      </c>
      <c r="C51" s="49" t="s">
        <v>182</v>
      </c>
      <c r="D51" s="49" t="s">
        <v>204</v>
      </c>
      <c r="E51" s="50" t="s">
        <v>170</v>
      </c>
    </row>
    <row r="52" spans="1:5" x14ac:dyDescent="0.3">
      <c r="A52" s="49" t="s">
        <v>205</v>
      </c>
      <c r="B52" s="49" t="s">
        <v>91</v>
      </c>
      <c r="C52" s="49" t="s">
        <v>182</v>
      </c>
      <c r="D52" s="49" t="s">
        <v>91</v>
      </c>
      <c r="E52" s="50" t="s">
        <v>145</v>
      </c>
    </row>
    <row r="53" spans="1:5" ht="24" customHeight="1" x14ac:dyDescent="0.3">
      <c r="A53" s="49" t="s">
        <v>206</v>
      </c>
      <c r="B53" s="49" t="s">
        <v>92</v>
      </c>
      <c r="C53" s="49" t="s">
        <v>207</v>
      </c>
      <c r="D53" s="49" t="s">
        <v>208</v>
      </c>
      <c r="E53" s="50" t="s">
        <v>145</v>
      </c>
    </row>
    <row r="54" spans="1:5" ht="24" customHeight="1" x14ac:dyDescent="0.3">
      <c r="A54" s="49" t="s">
        <v>209</v>
      </c>
      <c r="B54" s="49" t="s">
        <v>93</v>
      </c>
      <c r="C54" s="49" t="s">
        <v>207</v>
      </c>
      <c r="D54" s="49" t="s">
        <v>93</v>
      </c>
      <c r="E54" s="50" t="s">
        <v>145</v>
      </c>
    </row>
    <row r="55" spans="1:5" x14ac:dyDescent="0.3">
      <c r="A55" s="49" t="s">
        <v>210</v>
      </c>
      <c r="B55" s="49" t="s">
        <v>94</v>
      </c>
      <c r="C55" s="49" t="s">
        <v>207</v>
      </c>
      <c r="D55" s="49" t="s">
        <v>211</v>
      </c>
      <c r="E55" s="50" t="s">
        <v>170</v>
      </c>
    </row>
    <row r="56" spans="1:5" ht="24" customHeight="1" x14ac:dyDescent="0.3">
      <c r="A56" s="49" t="s">
        <v>212</v>
      </c>
      <c r="B56" s="49" t="s">
        <v>99</v>
      </c>
      <c r="C56" s="49" t="s">
        <v>213</v>
      </c>
      <c r="D56" s="49" t="s">
        <v>99</v>
      </c>
      <c r="E56" s="50" t="s">
        <v>145</v>
      </c>
    </row>
    <row r="57" spans="1:5" ht="24" customHeight="1" x14ac:dyDescent="0.3">
      <c r="A57" s="49" t="s">
        <v>214</v>
      </c>
      <c r="B57" s="49" t="s">
        <v>100</v>
      </c>
      <c r="C57" s="49"/>
      <c r="D57" s="49" t="s">
        <v>176</v>
      </c>
      <c r="E57" s="50" t="s">
        <v>177</v>
      </c>
    </row>
    <row r="58" spans="1:5" ht="24" customHeight="1" x14ac:dyDescent="0.3">
      <c r="A58" s="49" t="s">
        <v>215</v>
      </c>
      <c r="B58" s="49" t="s">
        <v>96</v>
      </c>
      <c r="C58" s="49" t="s">
        <v>213</v>
      </c>
      <c r="D58" s="49" t="s">
        <v>96</v>
      </c>
      <c r="E58" s="50" t="s">
        <v>145</v>
      </c>
    </row>
    <row r="59" spans="1:5" ht="24" customHeight="1" x14ac:dyDescent="0.3">
      <c r="A59" s="49" t="s">
        <v>216</v>
      </c>
      <c r="B59" s="49" t="s">
        <v>97</v>
      </c>
      <c r="C59" s="49" t="s">
        <v>213</v>
      </c>
      <c r="D59" s="49" t="s">
        <v>97</v>
      </c>
      <c r="E59" s="50" t="s">
        <v>145</v>
      </c>
    </row>
    <row r="60" spans="1:5" x14ac:dyDescent="0.3">
      <c r="A60" s="49" t="s">
        <v>217</v>
      </c>
      <c r="B60" s="49" t="s">
        <v>95</v>
      </c>
      <c r="C60" s="49" t="s">
        <v>213</v>
      </c>
      <c r="D60" s="49" t="s">
        <v>95</v>
      </c>
      <c r="E60" s="50" t="s">
        <v>145</v>
      </c>
    </row>
    <row r="61" spans="1:5" x14ac:dyDescent="0.3">
      <c r="A61" s="49" t="s">
        <v>218</v>
      </c>
      <c r="B61" s="49" t="s">
        <v>101</v>
      </c>
      <c r="C61" s="49" t="s">
        <v>213</v>
      </c>
      <c r="D61" s="49" t="s">
        <v>219</v>
      </c>
      <c r="E61" s="50" t="s">
        <v>170</v>
      </c>
    </row>
    <row r="62" spans="1:5" x14ac:dyDescent="0.3">
      <c r="A62" s="49" t="s">
        <v>220</v>
      </c>
      <c r="B62" s="49" t="s">
        <v>111</v>
      </c>
      <c r="C62" s="49" t="s">
        <v>221</v>
      </c>
      <c r="D62" s="49" t="s">
        <v>111</v>
      </c>
      <c r="E62" s="50" t="s">
        <v>145</v>
      </c>
    </row>
    <row r="63" spans="1:5" ht="24" customHeight="1" x14ac:dyDescent="0.3">
      <c r="A63" s="49" t="s">
        <v>222</v>
      </c>
      <c r="B63" s="49" t="s">
        <v>112</v>
      </c>
      <c r="C63" s="49" t="s">
        <v>221</v>
      </c>
      <c r="D63" s="49" t="s">
        <v>112</v>
      </c>
      <c r="E63" s="50" t="s">
        <v>145</v>
      </c>
    </row>
    <row r="64" spans="1:5" x14ac:dyDescent="0.3">
      <c r="A64" s="49" t="s">
        <v>223</v>
      </c>
      <c r="B64" s="49" t="s">
        <v>108</v>
      </c>
      <c r="C64" s="49" t="s">
        <v>221</v>
      </c>
      <c r="D64" s="49" t="s">
        <v>108</v>
      </c>
      <c r="E64" s="50" t="s">
        <v>145</v>
      </c>
    </row>
    <row r="65" spans="1:5" x14ac:dyDescent="0.3">
      <c r="A65" s="49" t="s">
        <v>224</v>
      </c>
      <c r="B65" s="49" t="s">
        <v>118</v>
      </c>
      <c r="C65" s="49" t="s">
        <v>221</v>
      </c>
      <c r="D65" s="49" t="s">
        <v>118</v>
      </c>
      <c r="E65" s="50" t="s">
        <v>145</v>
      </c>
    </row>
    <row r="66" spans="1:5" x14ac:dyDescent="0.3">
      <c r="A66" s="49" t="s">
        <v>225</v>
      </c>
      <c r="B66" s="49" t="s">
        <v>113</v>
      </c>
      <c r="C66" s="49" t="s">
        <v>221</v>
      </c>
      <c r="D66" s="49" t="s">
        <v>113</v>
      </c>
      <c r="E66" s="50" t="s">
        <v>145</v>
      </c>
    </row>
    <row r="67" spans="1:5" x14ac:dyDescent="0.3">
      <c r="A67" s="49" t="s">
        <v>226</v>
      </c>
      <c r="B67" s="49" t="s">
        <v>114</v>
      </c>
      <c r="C67" s="49" t="s">
        <v>221</v>
      </c>
      <c r="D67" s="49" t="s">
        <v>114</v>
      </c>
      <c r="E67" s="50" t="s">
        <v>145</v>
      </c>
    </row>
    <row r="68" spans="1:5" x14ac:dyDescent="0.3">
      <c r="A68" s="49" t="s">
        <v>227</v>
      </c>
      <c r="B68" s="49" t="s">
        <v>115</v>
      </c>
      <c r="C68" s="49" t="s">
        <v>221</v>
      </c>
      <c r="D68" s="49" t="s">
        <v>115</v>
      </c>
      <c r="E68" s="50" t="s">
        <v>145</v>
      </c>
    </row>
    <row r="69" spans="1:5" ht="24" customHeight="1" x14ac:dyDescent="0.3">
      <c r="A69" s="49" t="s">
        <v>228</v>
      </c>
      <c r="B69" s="49" t="s">
        <v>116</v>
      </c>
      <c r="C69" s="49" t="s">
        <v>221</v>
      </c>
      <c r="D69" s="49" t="s">
        <v>116</v>
      </c>
      <c r="E69" s="50" t="s">
        <v>145</v>
      </c>
    </row>
    <row r="70" spans="1:5" x14ac:dyDescent="0.3">
      <c r="A70" s="49" t="s">
        <v>229</v>
      </c>
      <c r="B70" s="49" t="s">
        <v>117</v>
      </c>
      <c r="C70" s="49" t="s">
        <v>221</v>
      </c>
      <c r="D70" s="49" t="s">
        <v>117</v>
      </c>
      <c r="E70" s="50" t="s">
        <v>145</v>
      </c>
    </row>
    <row r="71" spans="1:5" x14ac:dyDescent="0.3">
      <c r="A71" s="49" t="s">
        <v>230</v>
      </c>
      <c r="B71" s="49" t="s">
        <v>109</v>
      </c>
      <c r="C71" s="49" t="s">
        <v>231</v>
      </c>
      <c r="D71" s="49" t="s">
        <v>232</v>
      </c>
      <c r="E71" s="50" t="s">
        <v>145</v>
      </c>
    </row>
    <row r="72" spans="1:5" x14ac:dyDescent="0.3">
      <c r="A72" s="49" t="s">
        <v>233</v>
      </c>
      <c r="B72" s="49" t="s">
        <v>124</v>
      </c>
      <c r="C72" s="49" t="s">
        <v>234</v>
      </c>
      <c r="D72" s="49" t="s">
        <v>124</v>
      </c>
      <c r="E72" s="50" t="s">
        <v>145</v>
      </c>
    </row>
    <row r="73" spans="1:5" x14ac:dyDescent="0.3">
      <c r="A73" s="49" t="s">
        <v>235</v>
      </c>
      <c r="B73" s="49" t="s">
        <v>122</v>
      </c>
      <c r="C73" s="49" t="s">
        <v>234</v>
      </c>
      <c r="D73" s="49" t="s">
        <v>122</v>
      </c>
      <c r="E73" s="50" t="s">
        <v>145</v>
      </c>
    </row>
    <row r="74" spans="1:5" x14ac:dyDescent="0.3">
      <c r="A74" s="49" t="s">
        <v>236</v>
      </c>
      <c r="B74" s="49" t="s">
        <v>127</v>
      </c>
      <c r="C74" s="49" t="s">
        <v>234</v>
      </c>
      <c r="D74" s="49" t="s">
        <v>237</v>
      </c>
      <c r="E74" s="50" t="s">
        <v>170</v>
      </c>
    </row>
    <row r="75" spans="1:5" x14ac:dyDescent="0.3">
      <c r="A75" s="49" t="s">
        <v>238</v>
      </c>
      <c r="B75" s="49" t="s">
        <v>154</v>
      </c>
      <c r="C75" s="49"/>
      <c r="D75" s="49" t="s">
        <v>155</v>
      </c>
      <c r="E75" s="50" t="s">
        <v>156</v>
      </c>
    </row>
    <row r="76" spans="1:5" x14ac:dyDescent="0.3">
      <c r="A76" s="49" t="s">
        <v>239</v>
      </c>
      <c r="B76" s="49" t="s">
        <v>154</v>
      </c>
      <c r="C76" s="49"/>
      <c r="D76" s="49" t="s">
        <v>155</v>
      </c>
      <c r="E76" s="50" t="s">
        <v>156</v>
      </c>
    </row>
    <row r="77" spans="1:5" x14ac:dyDescent="0.3">
      <c r="A77" s="49" t="s">
        <v>240</v>
      </c>
      <c r="B77" s="49" t="s">
        <v>154</v>
      </c>
      <c r="C77" s="49"/>
      <c r="D77" s="49" t="s">
        <v>155</v>
      </c>
      <c r="E77" s="50" t="s">
        <v>156</v>
      </c>
    </row>
    <row r="78" spans="1:5" x14ac:dyDescent="0.3">
      <c r="A78" s="49" t="s">
        <v>241</v>
      </c>
      <c r="B78" s="49" t="s">
        <v>154</v>
      </c>
      <c r="C78" s="49"/>
      <c r="D78" s="49" t="s">
        <v>155</v>
      </c>
      <c r="E78" s="50" t="s">
        <v>156</v>
      </c>
    </row>
    <row r="79" spans="1:5" x14ac:dyDescent="0.3">
      <c r="A79" s="49" t="s">
        <v>242</v>
      </c>
      <c r="B79" s="49" t="s">
        <v>154</v>
      </c>
      <c r="C79" s="49"/>
      <c r="D79" s="49" t="s">
        <v>155</v>
      </c>
      <c r="E79" s="50" t="s">
        <v>156</v>
      </c>
    </row>
    <row r="80" spans="1:5" x14ac:dyDescent="0.3">
      <c r="A80" s="49" t="s">
        <v>243</v>
      </c>
      <c r="B80" s="49" t="s">
        <v>154</v>
      </c>
      <c r="C80" s="49"/>
      <c r="D80" s="49" t="s">
        <v>155</v>
      </c>
      <c r="E80" s="50" t="s">
        <v>156</v>
      </c>
    </row>
    <row r="81" spans="1:5" x14ac:dyDescent="0.3">
      <c r="A81" s="49" t="s">
        <v>244</v>
      </c>
      <c r="B81" s="49" t="s">
        <v>154</v>
      </c>
      <c r="C81" s="49"/>
      <c r="D81" s="49" t="s">
        <v>155</v>
      </c>
      <c r="E81" s="50" t="s">
        <v>156</v>
      </c>
    </row>
    <row r="82" spans="1:5" x14ac:dyDescent="0.3">
      <c r="A82" s="49" t="s">
        <v>245</v>
      </c>
      <c r="B82" s="49" t="s">
        <v>154</v>
      </c>
      <c r="C82" s="49"/>
      <c r="D82" s="49" t="s">
        <v>155</v>
      </c>
      <c r="E82" s="50" t="s">
        <v>156</v>
      </c>
    </row>
    <row r="83" spans="1:5" ht="24" customHeight="1" x14ac:dyDescent="0.3">
      <c r="A83" s="49" t="s">
        <v>246</v>
      </c>
      <c r="B83" s="49" t="s">
        <v>119</v>
      </c>
      <c r="C83" s="49" t="s">
        <v>234</v>
      </c>
      <c r="D83" s="49" t="s">
        <v>119</v>
      </c>
      <c r="E83" s="50" t="s">
        <v>145</v>
      </c>
    </row>
    <row r="84" spans="1:5" ht="24" customHeight="1" x14ac:dyDescent="0.3">
      <c r="A84" s="49" t="s">
        <v>247</v>
      </c>
      <c r="B84" s="49" t="s">
        <v>120</v>
      </c>
      <c r="C84" s="49" t="s">
        <v>234</v>
      </c>
      <c r="D84" s="49" t="s">
        <v>120</v>
      </c>
      <c r="E84" s="50" t="s">
        <v>145</v>
      </c>
    </row>
    <row r="85" spans="1:5" ht="24" customHeight="1" x14ac:dyDescent="0.3">
      <c r="A85" s="49" t="s">
        <v>248</v>
      </c>
      <c r="B85" s="49" t="s">
        <v>121</v>
      </c>
      <c r="C85" s="49"/>
      <c r="D85" s="49" t="s">
        <v>176</v>
      </c>
      <c r="E85" s="50" t="s">
        <v>177</v>
      </c>
    </row>
    <row r="86" spans="1:5" x14ac:dyDescent="0.3">
      <c r="A86" s="49" t="s">
        <v>249</v>
      </c>
      <c r="B86" s="49" t="s">
        <v>127</v>
      </c>
      <c r="C86" s="49" t="s">
        <v>234</v>
      </c>
      <c r="D86" s="49" t="s">
        <v>250</v>
      </c>
      <c r="E86" s="50" t="s">
        <v>170</v>
      </c>
    </row>
    <row r="87" spans="1:5" ht="24" customHeight="1" x14ac:dyDescent="0.3">
      <c r="A87" s="49" t="s">
        <v>251</v>
      </c>
      <c r="B87" s="49" t="s">
        <v>123</v>
      </c>
      <c r="C87" s="49" t="s">
        <v>234</v>
      </c>
      <c r="D87" s="49" t="s">
        <v>123</v>
      </c>
      <c r="E87" s="50" t="s">
        <v>145</v>
      </c>
    </row>
    <row r="88" spans="1:5" ht="24" customHeight="1" x14ac:dyDescent="0.3">
      <c r="A88" s="49" t="s">
        <v>252</v>
      </c>
      <c r="B88" s="49" t="s">
        <v>126</v>
      </c>
      <c r="C88" s="49" t="s">
        <v>234</v>
      </c>
      <c r="D88" s="49" t="s">
        <v>126</v>
      </c>
      <c r="E88" s="50" t="s">
        <v>145</v>
      </c>
    </row>
    <row r="89" spans="1:5" x14ac:dyDescent="0.3">
      <c r="A89" s="49" t="s">
        <v>253</v>
      </c>
      <c r="B89" s="49" t="s">
        <v>125</v>
      </c>
      <c r="C89" s="49" t="s">
        <v>234</v>
      </c>
      <c r="D89" s="49" t="s">
        <v>125</v>
      </c>
      <c r="E89" s="50" t="s">
        <v>145</v>
      </c>
    </row>
    <row r="90" spans="1:5" x14ac:dyDescent="0.3">
      <c r="A90" s="49" t="s">
        <v>254</v>
      </c>
      <c r="B90" s="49" t="s">
        <v>127</v>
      </c>
      <c r="C90" s="49" t="s">
        <v>234</v>
      </c>
      <c r="D90" s="49" t="s">
        <v>255</v>
      </c>
      <c r="E90" s="50" t="s">
        <v>170</v>
      </c>
    </row>
    <row r="91" spans="1:5" x14ac:dyDescent="0.3">
      <c r="A91" s="49" t="s">
        <v>256</v>
      </c>
      <c r="B91" s="49" t="s">
        <v>154</v>
      </c>
      <c r="C91" s="49"/>
      <c r="D91" s="49" t="s">
        <v>155</v>
      </c>
      <c r="E91" s="50" t="s">
        <v>156</v>
      </c>
    </row>
    <row r="92" spans="1:5" x14ac:dyDescent="0.3">
      <c r="A92" s="49" t="s">
        <v>257</v>
      </c>
      <c r="B92" s="49" t="s">
        <v>154</v>
      </c>
      <c r="C92" s="49"/>
      <c r="D92" s="49" t="s">
        <v>155</v>
      </c>
      <c r="E92" s="50" t="s">
        <v>156</v>
      </c>
    </row>
    <row r="93" spans="1:5" x14ac:dyDescent="0.3">
      <c r="A93" s="49" t="s">
        <v>258</v>
      </c>
      <c r="B93" s="49" t="s">
        <v>154</v>
      </c>
      <c r="C93" s="49"/>
      <c r="D93" s="49" t="s">
        <v>155</v>
      </c>
      <c r="E93" s="50" t="s">
        <v>156</v>
      </c>
    </row>
    <row r="94" spans="1:5" x14ac:dyDescent="0.3">
      <c r="A94" s="49" t="s">
        <v>259</v>
      </c>
      <c r="B94" s="49" t="s">
        <v>154</v>
      </c>
      <c r="C94" s="49"/>
      <c r="D94" s="49" t="s">
        <v>155</v>
      </c>
      <c r="E94" s="50" t="s">
        <v>156</v>
      </c>
    </row>
    <row r="95" spans="1:5" x14ac:dyDescent="0.3">
      <c r="A95" s="49" t="s">
        <v>260</v>
      </c>
      <c r="B95" s="49" t="s">
        <v>154</v>
      </c>
      <c r="C95" s="49"/>
      <c r="D95" s="49" t="s">
        <v>155</v>
      </c>
      <c r="E95" s="50" t="s">
        <v>156</v>
      </c>
    </row>
    <row r="96" spans="1:5" x14ac:dyDescent="0.3">
      <c r="A96" s="49" t="s">
        <v>261</v>
      </c>
      <c r="B96" s="49" t="s">
        <v>103</v>
      </c>
      <c r="C96" s="49" t="s">
        <v>262</v>
      </c>
      <c r="D96" s="49" t="s">
        <v>263</v>
      </c>
      <c r="E96" s="50" t="s">
        <v>170</v>
      </c>
    </row>
    <row r="97" spans="1:5" x14ac:dyDescent="0.3">
      <c r="A97" s="49" t="s">
        <v>264</v>
      </c>
      <c r="B97" s="49" t="s">
        <v>102</v>
      </c>
      <c r="C97" s="49" t="s">
        <v>262</v>
      </c>
      <c r="D97" s="49" t="s">
        <v>102</v>
      </c>
      <c r="E97" s="50" t="s">
        <v>145</v>
      </c>
    </row>
    <row r="98" spans="1:5" x14ac:dyDescent="0.3">
      <c r="A98" s="49" t="s">
        <v>265</v>
      </c>
      <c r="B98" s="49" t="s">
        <v>154</v>
      </c>
      <c r="C98" s="49"/>
      <c r="D98" s="49" t="s">
        <v>155</v>
      </c>
      <c r="E98" s="50" t="s">
        <v>156</v>
      </c>
    </row>
    <row r="99" spans="1:5" x14ac:dyDescent="0.3">
      <c r="A99" s="49" t="s">
        <v>266</v>
      </c>
      <c r="B99" s="49" t="s">
        <v>154</v>
      </c>
      <c r="C99" s="49"/>
      <c r="D99" s="49" t="s">
        <v>155</v>
      </c>
      <c r="E99" s="50" t="s">
        <v>156</v>
      </c>
    </row>
    <row r="100" spans="1:5" x14ac:dyDescent="0.3">
      <c r="A100" s="49" t="s">
        <v>267</v>
      </c>
      <c r="B100" s="49" t="s">
        <v>268</v>
      </c>
      <c r="C100" s="49"/>
      <c r="D100" s="49" t="s">
        <v>269</v>
      </c>
      <c r="E100" s="50" t="s">
        <v>270</v>
      </c>
    </row>
    <row r="101" spans="1:5" x14ac:dyDescent="0.3">
      <c r="A101" s="49" t="s">
        <v>271</v>
      </c>
      <c r="B101" s="49" t="s">
        <v>272</v>
      </c>
      <c r="C101" s="49"/>
      <c r="D101" s="49" t="s">
        <v>269</v>
      </c>
      <c r="E101" s="50" t="s">
        <v>270</v>
      </c>
    </row>
    <row r="102" spans="1:5" x14ac:dyDescent="0.3">
      <c r="A102" s="49" t="s">
        <v>273</v>
      </c>
      <c r="B102" s="49" t="s">
        <v>274</v>
      </c>
      <c r="C102" s="49"/>
      <c r="D102" s="49" t="s">
        <v>269</v>
      </c>
      <c r="E102" s="50" t="s">
        <v>270</v>
      </c>
    </row>
    <row r="103" spans="1:5" x14ac:dyDescent="0.3">
      <c r="A103" s="49" t="s">
        <v>275</v>
      </c>
      <c r="B103" s="49" t="s">
        <v>276</v>
      </c>
      <c r="C103" s="49"/>
      <c r="D103" s="49" t="s">
        <v>269</v>
      </c>
      <c r="E103" s="50" t="s">
        <v>270</v>
      </c>
    </row>
    <row r="104" spans="1:5" x14ac:dyDescent="0.3">
      <c r="A104" s="49" t="s">
        <v>277</v>
      </c>
      <c r="B104" s="49" t="s">
        <v>278</v>
      </c>
      <c r="C104" s="49"/>
      <c r="D104" s="49" t="s">
        <v>269</v>
      </c>
      <c r="E104" s="50" t="s">
        <v>270</v>
      </c>
    </row>
    <row r="105" spans="1:5" x14ac:dyDescent="0.3">
      <c r="A105" s="49" t="s">
        <v>279</v>
      </c>
      <c r="B105" s="49" t="s">
        <v>280</v>
      </c>
      <c r="C105" s="49"/>
      <c r="D105" s="49" t="s">
        <v>269</v>
      </c>
      <c r="E105" s="50" t="s">
        <v>270</v>
      </c>
    </row>
    <row r="106" spans="1:5" x14ac:dyDescent="0.3">
      <c r="A106" s="49" t="s">
        <v>281</v>
      </c>
      <c r="B106" s="49" t="s">
        <v>282</v>
      </c>
      <c r="C106" s="49"/>
      <c r="D106" s="49" t="s">
        <v>269</v>
      </c>
      <c r="E106" s="50" t="s">
        <v>270</v>
      </c>
    </row>
    <row r="107" spans="1:5" x14ac:dyDescent="0.3">
      <c r="A107" s="49" t="s">
        <v>283</v>
      </c>
      <c r="B107" s="49" t="s">
        <v>284</v>
      </c>
      <c r="C107" s="49"/>
      <c r="D107" s="49" t="s">
        <v>269</v>
      </c>
      <c r="E107" s="50" t="s">
        <v>270</v>
      </c>
    </row>
    <row r="108" spans="1:5" x14ac:dyDescent="0.3">
      <c r="A108" s="49" t="s">
        <v>285</v>
      </c>
      <c r="B108" s="49" t="s">
        <v>154</v>
      </c>
      <c r="C108" s="49"/>
      <c r="D108" s="49" t="s">
        <v>155</v>
      </c>
      <c r="E108" s="50" t="s">
        <v>156</v>
      </c>
    </row>
    <row r="109" spans="1:5" x14ac:dyDescent="0.3">
      <c r="A109" s="49" t="s">
        <v>286</v>
      </c>
      <c r="B109" s="49" t="s">
        <v>287</v>
      </c>
      <c r="C109" s="49"/>
      <c r="D109" s="49" t="s">
        <v>269</v>
      </c>
      <c r="E109" s="50" t="s">
        <v>270</v>
      </c>
    </row>
    <row r="110" spans="1:5" x14ac:dyDescent="0.3">
      <c r="A110" s="49" t="s">
        <v>288</v>
      </c>
      <c r="B110" s="49" t="s">
        <v>289</v>
      </c>
      <c r="C110" s="49"/>
      <c r="D110" s="49" t="s">
        <v>269</v>
      </c>
      <c r="E110" s="50" t="s">
        <v>270</v>
      </c>
    </row>
    <row r="111" spans="1:5" x14ac:dyDescent="0.3">
      <c r="A111" s="49" t="s">
        <v>290</v>
      </c>
      <c r="B111" s="49" t="s">
        <v>291</v>
      </c>
      <c r="C111" s="49"/>
      <c r="D111" s="49" t="s">
        <v>269</v>
      </c>
      <c r="E111" s="50" t="s">
        <v>270</v>
      </c>
    </row>
    <row r="112" spans="1:5" x14ac:dyDescent="0.3">
      <c r="A112" s="49" t="s">
        <v>292</v>
      </c>
      <c r="B112" s="49" t="s">
        <v>293</v>
      </c>
      <c r="C112" s="49"/>
      <c r="D112" s="49" t="s">
        <v>269</v>
      </c>
      <c r="E112" s="50" t="s">
        <v>270</v>
      </c>
    </row>
    <row r="113" spans="1:5" x14ac:dyDescent="0.3">
      <c r="A113" s="49" t="s">
        <v>294</v>
      </c>
      <c r="B113" s="49" t="s">
        <v>154</v>
      </c>
      <c r="C113" s="49"/>
      <c r="D113" s="49" t="s">
        <v>155</v>
      </c>
      <c r="E113" s="50" t="s">
        <v>156</v>
      </c>
    </row>
    <row r="114" spans="1:5" x14ac:dyDescent="0.3">
      <c r="A114" s="49" t="s">
        <v>295</v>
      </c>
      <c r="B114" s="49" t="s">
        <v>154</v>
      </c>
      <c r="C114" s="49"/>
      <c r="D114" s="49" t="s">
        <v>155</v>
      </c>
      <c r="E114" s="50" t="s">
        <v>156</v>
      </c>
    </row>
    <row r="115" spans="1:5" x14ac:dyDescent="0.3">
      <c r="A115" s="49" t="s">
        <v>296</v>
      </c>
      <c r="B115" s="49" t="s">
        <v>154</v>
      </c>
      <c r="C115" s="49"/>
      <c r="D115" s="49" t="s">
        <v>155</v>
      </c>
      <c r="E115" s="50" t="s">
        <v>156</v>
      </c>
    </row>
    <row r="116" spans="1:5" x14ac:dyDescent="0.3">
      <c r="A116" s="49" t="s">
        <v>297</v>
      </c>
      <c r="B116" s="49" t="s">
        <v>154</v>
      </c>
      <c r="C116" s="49"/>
      <c r="D116" s="49" t="s">
        <v>155</v>
      </c>
      <c r="E116" s="50" t="s">
        <v>156</v>
      </c>
    </row>
    <row r="117" spans="1:5" ht="36" customHeight="1" x14ac:dyDescent="0.3">
      <c r="A117" s="49" t="s">
        <v>298</v>
      </c>
      <c r="B117" s="49" t="s">
        <v>299</v>
      </c>
      <c r="C117" s="49"/>
      <c r="D117" s="49" t="s">
        <v>269</v>
      </c>
      <c r="E117" s="50" t="s">
        <v>270</v>
      </c>
    </row>
    <row r="118" spans="1:5" x14ac:dyDescent="0.3">
      <c r="A118" s="49" t="s">
        <v>300</v>
      </c>
      <c r="B118" s="49" t="s">
        <v>301</v>
      </c>
      <c r="C118" s="49"/>
      <c r="D118" s="49" t="s">
        <v>269</v>
      </c>
      <c r="E118" s="50" t="s">
        <v>270</v>
      </c>
    </row>
    <row r="119" spans="1:5" x14ac:dyDescent="0.3">
      <c r="A119" s="49" t="s">
        <v>302</v>
      </c>
      <c r="B119" s="49" t="s">
        <v>303</v>
      </c>
      <c r="C119" s="49"/>
      <c r="D119" s="49" t="s">
        <v>269</v>
      </c>
      <c r="E119" s="50" t="s">
        <v>270</v>
      </c>
    </row>
    <row r="120" spans="1:5" x14ac:dyDescent="0.3">
      <c r="A120" s="49" t="s">
        <v>304</v>
      </c>
      <c r="B120" s="49" t="s">
        <v>305</v>
      </c>
      <c r="C120" s="49"/>
      <c r="D120" s="49" t="s">
        <v>269</v>
      </c>
      <c r="E120" s="50" t="s">
        <v>270</v>
      </c>
    </row>
    <row r="121" spans="1:5" x14ac:dyDescent="0.3">
      <c r="A121" s="49" t="s">
        <v>306</v>
      </c>
      <c r="B121" s="49" t="s">
        <v>307</v>
      </c>
      <c r="C121" s="49"/>
      <c r="D121" s="49" t="s">
        <v>269</v>
      </c>
      <c r="E121" s="50" t="s">
        <v>270</v>
      </c>
    </row>
    <row r="122" spans="1:5" x14ac:dyDescent="0.3">
      <c r="A122" s="49" t="s">
        <v>308</v>
      </c>
      <c r="B122" s="49" t="s">
        <v>309</v>
      </c>
      <c r="C122" s="49"/>
      <c r="D122" s="49" t="s">
        <v>269</v>
      </c>
      <c r="E122" s="50" t="s">
        <v>270</v>
      </c>
    </row>
    <row r="123" spans="1:5" x14ac:dyDescent="0.3">
      <c r="A123" s="49" t="s">
        <v>310</v>
      </c>
      <c r="B123" s="49" t="s">
        <v>311</v>
      </c>
      <c r="C123" s="49"/>
      <c r="D123" s="49" t="s">
        <v>269</v>
      </c>
      <c r="E123" s="50" t="s">
        <v>270</v>
      </c>
    </row>
    <row r="124" spans="1:5" x14ac:dyDescent="0.3">
      <c r="A124" s="49" t="s">
        <v>312</v>
      </c>
      <c r="B124" s="49" t="s">
        <v>313</v>
      </c>
      <c r="C124" s="49"/>
      <c r="D124" s="49" t="s">
        <v>269</v>
      </c>
      <c r="E124" s="50" t="s">
        <v>270</v>
      </c>
    </row>
    <row r="125" spans="1:5" x14ac:dyDescent="0.3">
      <c r="A125" s="49" t="s">
        <v>314</v>
      </c>
      <c r="B125" s="49" t="s">
        <v>315</v>
      </c>
      <c r="C125" s="49"/>
      <c r="D125" s="49" t="s">
        <v>269</v>
      </c>
      <c r="E125" s="50" t="s">
        <v>270</v>
      </c>
    </row>
    <row r="126" spans="1:5" x14ac:dyDescent="0.3">
      <c r="A126" s="49" t="s">
        <v>316</v>
      </c>
      <c r="B126" s="49" t="s">
        <v>317</v>
      </c>
      <c r="C126" s="49"/>
      <c r="D126" s="49" t="s">
        <v>269</v>
      </c>
      <c r="E126" s="50" t="s">
        <v>270</v>
      </c>
    </row>
    <row r="127" spans="1:5" ht="24" customHeight="1" x14ac:dyDescent="0.3">
      <c r="A127" s="49" t="s">
        <v>318</v>
      </c>
      <c r="B127" s="49" t="s">
        <v>319</v>
      </c>
      <c r="C127" s="49"/>
      <c r="D127" s="49" t="s">
        <v>269</v>
      </c>
      <c r="E127" s="50" t="s">
        <v>270</v>
      </c>
    </row>
    <row r="128" spans="1:5" x14ac:dyDescent="0.3">
      <c r="A128" s="49" t="s">
        <v>320</v>
      </c>
      <c r="B128" s="49" t="s">
        <v>321</v>
      </c>
      <c r="C128" s="49"/>
      <c r="D128" s="49" t="s">
        <v>269</v>
      </c>
      <c r="E128" s="50" t="s">
        <v>270</v>
      </c>
    </row>
    <row r="129" spans="1:6" x14ac:dyDescent="0.3">
      <c r="A129" s="49" t="s">
        <v>322</v>
      </c>
      <c r="B129" s="49" t="s">
        <v>323</v>
      </c>
      <c r="C129" s="49"/>
      <c r="D129" s="49" t="s">
        <v>269</v>
      </c>
      <c r="E129" s="50" t="s">
        <v>270</v>
      </c>
    </row>
    <row r="130" spans="1:6" x14ac:dyDescent="0.3">
      <c r="A130" s="49" t="s">
        <v>324</v>
      </c>
      <c r="B130" s="49" t="s">
        <v>325</v>
      </c>
      <c r="C130" s="49"/>
      <c r="D130" s="49" t="s">
        <v>269</v>
      </c>
      <c r="E130" s="50" t="s">
        <v>270</v>
      </c>
    </row>
    <row r="131" spans="1:6" x14ac:dyDescent="0.3">
      <c r="A131" s="49" t="s">
        <v>326</v>
      </c>
      <c r="B131" s="49" t="s">
        <v>327</v>
      </c>
      <c r="C131" s="49"/>
      <c r="D131" s="49" t="s">
        <v>269</v>
      </c>
      <c r="E131" s="50" t="s">
        <v>270</v>
      </c>
    </row>
    <row r="132" spans="1:6" x14ac:dyDescent="0.3">
      <c r="A132" s="49" t="s">
        <v>328</v>
      </c>
      <c r="B132" s="49" t="s">
        <v>329</v>
      </c>
      <c r="C132" s="49"/>
      <c r="D132" s="49" t="s">
        <v>269</v>
      </c>
      <c r="E132" s="50" t="s">
        <v>270</v>
      </c>
    </row>
    <row r="133" spans="1:6" x14ac:dyDescent="0.3">
      <c r="A133" s="49" t="s">
        <v>330</v>
      </c>
      <c r="B133" s="49" t="s">
        <v>331</v>
      </c>
      <c r="C133" s="49"/>
      <c r="D133" s="49" t="s">
        <v>269</v>
      </c>
      <c r="E133" s="50" t="s">
        <v>270</v>
      </c>
    </row>
    <row r="134" spans="1:6" ht="24" customHeight="1" x14ac:dyDescent="0.3">
      <c r="A134" s="49" t="s">
        <v>332</v>
      </c>
      <c r="B134" s="49" t="s">
        <v>333</v>
      </c>
      <c r="C134" s="49"/>
      <c r="D134" s="49" t="s">
        <v>269</v>
      </c>
      <c r="E134" s="50" t="s">
        <v>270</v>
      </c>
    </row>
    <row r="137" spans="1:6" ht="17.25" customHeight="1" x14ac:dyDescent="0.35">
      <c r="A137" s="47" t="s">
        <v>334</v>
      </c>
    </row>
    <row r="138" spans="1:6" x14ac:dyDescent="0.3">
      <c r="A138" s="83" t="s">
        <v>335</v>
      </c>
      <c r="B138" s="84"/>
      <c r="C138" s="84"/>
      <c r="D138" s="84"/>
      <c r="E138" s="84"/>
      <c r="F138" s="84"/>
    </row>
    <row r="140" spans="1:6" x14ac:dyDescent="0.3">
      <c r="A140" s="48" t="s">
        <v>140</v>
      </c>
      <c r="B140" s="48" t="s">
        <v>336</v>
      </c>
      <c r="C140" s="48" t="s">
        <v>337</v>
      </c>
      <c r="D140" s="48" t="s">
        <v>338</v>
      </c>
      <c r="E140" s="48" t="s">
        <v>339</v>
      </c>
    </row>
    <row r="141" spans="1:6" x14ac:dyDescent="0.3">
      <c r="A141" s="49" t="s">
        <v>262</v>
      </c>
      <c r="B141" s="49" t="s">
        <v>340</v>
      </c>
      <c r="C141" s="50">
        <v>194</v>
      </c>
      <c r="D141" s="50">
        <v>7</v>
      </c>
      <c r="E141" s="50">
        <v>2</v>
      </c>
    </row>
    <row r="142" spans="1:6" x14ac:dyDescent="0.3">
      <c r="A142" s="49" t="s">
        <v>262</v>
      </c>
      <c r="B142" s="49" t="s">
        <v>341</v>
      </c>
      <c r="C142" s="50">
        <v>194</v>
      </c>
      <c r="D142" s="50">
        <v>7</v>
      </c>
      <c r="E142" s="50">
        <v>2</v>
      </c>
    </row>
    <row r="143" spans="1:6" x14ac:dyDescent="0.3">
      <c r="A143" s="49" t="s">
        <v>182</v>
      </c>
      <c r="B143" s="49" t="s">
        <v>342</v>
      </c>
      <c r="C143" s="50">
        <v>19</v>
      </c>
      <c r="D143" s="50">
        <v>7</v>
      </c>
      <c r="E143" s="50">
        <v>5</v>
      </c>
    </row>
    <row r="144" spans="1:6" x14ac:dyDescent="0.3">
      <c r="A144" s="49" t="s">
        <v>182</v>
      </c>
      <c r="B144" s="49" t="s">
        <v>343</v>
      </c>
      <c r="C144" s="50">
        <v>646</v>
      </c>
      <c r="D144" s="50">
        <v>7</v>
      </c>
      <c r="E144" s="50">
        <v>6</v>
      </c>
    </row>
    <row r="145" spans="1:5" x14ac:dyDescent="0.3">
      <c r="A145" s="49" t="s">
        <v>182</v>
      </c>
      <c r="B145" s="49" t="s">
        <v>344</v>
      </c>
      <c r="C145" s="50">
        <v>51</v>
      </c>
      <c r="D145" s="50">
        <v>7</v>
      </c>
      <c r="E145" s="50">
        <v>6</v>
      </c>
    </row>
    <row r="146" spans="1:5" x14ac:dyDescent="0.3">
      <c r="A146" s="49" t="s">
        <v>182</v>
      </c>
      <c r="B146" s="49" t="s">
        <v>345</v>
      </c>
      <c r="C146" s="50">
        <v>774</v>
      </c>
      <c r="D146" s="50">
        <v>7</v>
      </c>
      <c r="E146" s="50">
        <v>5</v>
      </c>
    </row>
    <row r="147" spans="1:5" x14ac:dyDescent="0.3">
      <c r="A147" s="49" t="s">
        <v>346</v>
      </c>
      <c r="B147" s="49" t="s">
        <v>57</v>
      </c>
      <c r="C147" s="50">
        <v>18</v>
      </c>
      <c r="D147" s="50">
        <v>5</v>
      </c>
      <c r="E147" s="50">
        <v>2</v>
      </c>
    </row>
    <row r="148" spans="1:5" x14ac:dyDescent="0.3">
      <c r="A148" s="49" t="s">
        <v>346</v>
      </c>
      <c r="B148" s="49" t="s">
        <v>58</v>
      </c>
      <c r="C148" s="50">
        <v>17</v>
      </c>
      <c r="D148" s="50">
        <v>4</v>
      </c>
      <c r="E148" s="50">
        <v>2</v>
      </c>
    </row>
    <row r="149" spans="1:5" x14ac:dyDescent="0.3">
      <c r="A149" s="49" t="s">
        <v>346</v>
      </c>
      <c r="B149" s="49" t="s">
        <v>59</v>
      </c>
      <c r="C149" s="50">
        <v>35</v>
      </c>
      <c r="D149" s="50">
        <v>7</v>
      </c>
      <c r="E149" s="50">
        <v>3</v>
      </c>
    </row>
    <row r="150" spans="1:5" x14ac:dyDescent="0.3">
      <c r="A150" s="49" t="s">
        <v>346</v>
      </c>
      <c r="B150" s="49" t="s">
        <v>347</v>
      </c>
      <c r="C150" s="50">
        <v>18</v>
      </c>
      <c r="D150" s="50">
        <v>5</v>
      </c>
      <c r="E150" s="50">
        <v>2</v>
      </c>
    </row>
    <row r="151" spans="1:5" x14ac:dyDescent="0.3">
      <c r="A151" s="49" t="s">
        <v>346</v>
      </c>
      <c r="B151" s="49" t="s">
        <v>61</v>
      </c>
      <c r="C151" s="50">
        <v>15</v>
      </c>
      <c r="D151" s="50">
        <v>6</v>
      </c>
      <c r="E151" s="50">
        <v>2</v>
      </c>
    </row>
    <row r="152" spans="1:5" ht="24" x14ac:dyDescent="0.3">
      <c r="A152" s="49" t="s">
        <v>348</v>
      </c>
      <c r="B152" s="49" t="s">
        <v>104</v>
      </c>
      <c r="C152" s="50">
        <v>136</v>
      </c>
      <c r="D152" s="50">
        <v>7</v>
      </c>
      <c r="E152" s="50">
        <v>2</v>
      </c>
    </row>
    <row r="153" spans="1:5" ht="24" x14ac:dyDescent="0.3">
      <c r="A153" s="49" t="s">
        <v>348</v>
      </c>
      <c r="B153" s="49" t="s">
        <v>105</v>
      </c>
      <c r="C153" s="50">
        <v>102</v>
      </c>
      <c r="D153" s="50">
        <v>7</v>
      </c>
      <c r="E153" s="50">
        <v>2</v>
      </c>
    </row>
    <row r="154" spans="1:5" ht="24" x14ac:dyDescent="0.3">
      <c r="A154" s="49" t="s">
        <v>348</v>
      </c>
      <c r="B154" s="49" t="s">
        <v>106</v>
      </c>
      <c r="C154" s="50">
        <v>145</v>
      </c>
      <c r="D154" s="50">
        <v>7</v>
      </c>
      <c r="E154" s="50">
        <v>2</v>
      </c>
    </row>
    <row r="155" spans="1:5" x14ac:dyDescent="0.3">
      <c r="A155" s="49" t="s">
        <v>231</v>
      </c>
      <c r="B155" s="49" t="s">
        <v>349</v>
      </c>
      <c r="C155" s="50">
        <v>1691</v>
      </c>
      <c r="D155" s="50">
        <v>7</v>
      </c>
      <c r="E155" s="50">
        <v>7</v>
      </c>
    </row>
    <row r="156" spans="1:5" ht="36" customHeight="1" x14ac:dyDescent="0.3">
      <c r="A156" s="49" t="s">
        <v>231</v>
      </c>
      <c r="B156" s="49" t="s">
        <v>107</v>
      </c>
      <c r="C156" s="50">
        <v>339</v>
      </c>
      <c r="D156" s="50">
        <v>6</v>
      </c>
      <c r="E156" s="50">
        <v>6</v>
      </c>
    </row>
    <row r="157" spans="1:5" ht="24" customHeight="1" x14ac:dyDescent="0.3">
      <c r="A157" s="49" t="s">
        <v>231</v>
      </c>
      <c r="B157" s="49" t="s">
        <v>350</v>
      </c>
      <c r="C157" s="50">
        <v>3987</v>
      </c>
      <c r="D157" s="50">
        <v>7</v>
      </c>
      <c r="E157" s="50">
        <v>8</v>
      </c>
    </row>
    <row r="158" spans="1:5" x14ac:dyDescent="0.3">
      <c r="A158" s="49" t="s">
        <v>231</v>
      </c>
      <c r="B158" s="49" t="s">
        <v>351</v>
      </c>
      <c r="C158" s="50">
        <v>10492</v>
      </c>
      <c r="D158" s="50">
        <v>7</v>
      </c>
      <c r="E158" s="50">
        <v>8</v>
      </c>
    </row>
    <row r="159" spans="1:5" ht="24" x14ac:dyDescent="0.3">
      <c r="A159" s="49" t="s">
        <v>144</v>
      </c>
      <c r="B159" s="49" t="s">
        <v>352</v>
      </c>
      <c r="C159" s="50">
        <v>141</v>
      </c>
      <c r="D159" s="50">
        <v>7</v>
      </c>
      <c r="E159" s="50">
        <v>2</v>
      </c>
    </row>
    <row r="160" spans="1:5" ht="24" x14ac:dyDescent="0.3">
      <c r="A160" s="49" t="s">
        <v>144</v>
      </c>
      <c r="B160" s="49" t="s">
        <v>353</v>
      </c>
      <c r="C160" s="50">
        <v>114</v>
      </c>
      <c r="D160" s="50">
        <v>7</v>
      </c>
      <c r="E160" s="50">
        <v>2</v>
      </c>
    </row>
    <row r="163" spans="1:5" ht="17.25" customHeight="1" x14ac:dyDescent="0.35">
      <c r="A163" s="47" t="s">
        <v>354</v>
      </c>
    </row>
    <row r="165" spans="1:5" ht="24" customHeight="1" x14ac:dyDescent="0.3">
      <c r="A165" s="48" t="s">
        <v>355</v>
      </c>
      <c r="B165" s="48" t="s">
        <v>356</v>
      </c>
      <c r="C165" s="48" t="s">
        <v>357</v>
      </c>
      <c r="D165" s="48" t="s">
        <v>338</v>
      </c>
      <c r="E165" s="48" t="s">
        <v>358</v>
      </c>
    </row>
    <row r="166" spans="1:5" x14ac:dyDescent="0.3">
      <c r="A166" s="49" t="s">
        <v>41</v>
      </c>
      <c r="B166" s="50" t="s">
        <v>359</v>
      </c>
      <c r="C166" s="50">
        <v>18290</v>
      </c>
      <c r="D166" s="50">
        <v>7</v>
      </c>
      <c r="E166" s="50">
        <v>54</v>
      </c>
    </row>
    <row r="167" spans="1:5" x14ac:dyDescent="0.3">
      <c r="A167" s="49" t="s">
        <v>360</v>
      </c>
      <c r="B167" s="50" t="s">
        <v>361</v>
      </c>
      <c r="C167" s="50">
        <v>1715</v>
      </c>
      <c r="D167" s="50">
        <v>7</v>
      </c>
      <c r="E167" s="50">
        <v>17</v>
      </c>
    </row>
    <row r="168" spans="1:5" x14ac:dyDescent="0.3">
      <c r="A168" s="49" t="s">
        <v>362</v>
      </c>
      <c r="B168" s="50" t="s">
        <v>363</v>
      </c>
      <c r="C168" s="50">
        <v>1444</v>
      </c>
      <c r="D168" s="50">
        <v>7</v>
      </c>
      <c r="E168" s="50">
        <v>16</v>
      </c>
    </row>
    <row r="169" spans="1:5" x14ac:dyDescent="0.3">
      <c r="A169" s="49" t="s">
        <v>364</v>
      </c>
      <c r="B169" s="50" t="s">
        <v>365</v>
      </c>
      <c r="C169" s="50">
        <v>960</v>
      </c>
      <c r="D169" s="50">
        <v>7</v>
      </c>
      <c r="E169" s="50">
        <v>16</v>
      </c>
    </row>
    <row r="170" spans="1:5" x14ac:dyDescent="0.3">
      <c r="A170" s="49" t="s">
        <v>34</v>
      </c>
      <c r="B170" s="50" t="s">
        <v>366</v>
      </c>
      <c r="C170" s="50">
        <v>937</v>
      </c>
      <c r="D170" s="50">
        <v>6</v>
      </c>
      <c r="E170" s="50">
        <v>80</v>
      </c>
    </row>
    <row r="171" spans="1:5" x14ac:dyDescent="0.3">
      <c r="A171" s="49" t="s">
        <v>367</v>
      </c>
      <c r="B171" s="50" t="s">
        <v>368</v>
      </c>
      <c r="C171" s="50">
        <v>791</v>
      </c>
      <c r="D171" s="50">
        <v>7</v>
      </c>
      <c r="E171" s="50">
        <v>11</v>
      </c>
    </row>
    <row r="172" spans="1:5" x14ac:dyDescent="0.3">
      <c r="A172" s="49" t="s">
        <v>369</v>
      </c>
      <c r="B172" s="50" t="s">
        <v>370</v>
      </c>
      <c r="C172" s="50">
        <v>784</v>
      </c>
      <c r="D172" s="50">
        <v>5</v>
      </c>
      <c r="E172" s="50">
        <v>6</v>
      </c>
    </row>
    <row r="173" spans="1:5" x14ac:dyDescent="0.3">
      <c r="A173" s="49" t="s">
        <v>32</v>
      </c>
      <c r="B173" s="50" t="s">
        <v>371</v>
      </c>
      <c r="C173" s="50">
        <v>498</v>
      </c>
      <c r="D173" s="50">
        <v>7</v>
      </c>
      <c r="E173" s="50">
        <v>11</v>
      </c>
    </row>
    <row r="174" spans="1:5" x14ac:dyDescent="0.3">
      <c r="A174" s="49" t="s">
        <v>372</v>
      </c>
      <c r="B174" s="50" t="s">
        <v>373</v>
      </c>
      <c r="C174" s="50">
        <v>352</v>
      </c>
      <c r="D174" s="50">
        <v>7</v>
      </c>
      <c r="E174" s="50">
        <v>8</v>
      </c>
    </row>
    <row r="175" spans="1:5" x14ac:dyDescent="0.3">
      <c r="A175" s="49" t="s">
        <v>33</v>
      </c>
      <c r="B175" s="50" t="s">
        <v>374</v>
      </c>
      <c r="C175" s="50">
        <v>327</v>
      </c>
      <c r="D175" s="50">
        <v>6</v>
      </c>
      <c r="E175" s="50">
        <v>8</v>
      </c>
    </row>
    <row r="176" spans="1:5" x14ac:dyDescent="0.3">
      <c r="A176" s="49" t="s">
        <v>375</v>
      </c>
      <c r="B176" s="50" t="s">
        <v>376</v>
      </c>
      <c r="C176" s="50">
        <v>268</v>
      </c>
      <c r="D176" s="50">
        <v>7</v>
      </c>
      <c r="E176" s="50">
        <v>11</v>
      </c>
    </row>
    <row r="177" spans="1:5" x14ac:dyDescent="0.3">
      <c r="A177" s="49" t="s">
        <v>377</v>
      </c>
      <c r="B177" s="50" t="s">
        <v>378</v>
      </c>
      <c r="C177" s="50">
        <v>170</v>
      </c>
      <c r="D177" s="50">
        <v>6</v>
      </c>
      <c r="E177" s="50">
        <v>5</v>
      </c>
    </row>
    <row r="178" spans="1:5" x14ac:dyDescent="0.3">
      <c r="A178" s="49" t="s">
        <v>379</v>
      </c>
      <c r="B178" s="50" t="s">
        <v>380</v>
      </c>
      <c r="C178" s="50">
        <v>34</v>
      </c>
      <c r="D178" s="50">
        <v>6</v>
      </c>
      <c r="E178" s="50">
        <v>6</v>
      </c>
    </row>
    <row r="179" spans="1:5" x14ac:dyDescent="0.3">
      <c r="A179" s="49" t="s">
        <v>381</v>
      </c>
      <c r="B179" s="50" t="s">
        <v>382</v>
      </c>
      <c r="C179" s="50">
        <v>28</v>
      </c>
      <c r="D179" s="50">
        <v>7</v>
      </c>
      <c r="E179" s="50">
        <v>6</v>
      </c>
    </row>
    <row r="180" spans="1:5" x14ac:dyDescent="0.3">
      <c r="A180" s="49" t="s">
        <v>39</v>
      </c>
      <c r="B180" s="50" t="s">
        <v>383</v>
      </c>
      <c r="C180" s="50">
        <v>17</v>
      </c>
      <c r="D180" s="50">
        <v>4</v>
      </c>
      <c r="E180" s="50">
        <v>3</v>
      </c>
    </row>
    <row r="181" spans="1:5" x14ac:dyDescent="0.3">
      <c r="A181" s="49" t="s">
        <v>384</v>
      </c>
      <c r="B181" s="50" t="s">
        <v>385</v>
      </c>
      <c r="C181" s="50">
        <v>16</v>
      </c>
      <c r="D181" s="50">
        <v>4</v>
      </c>
      <c r="E181" s="50">
        <v>5</v>
      </c>
    </row>
    <row r="182" spans="1:5" x14ac:dyDescent="0.3">
      <c r="A182" s="49" t="s">
        <v>386</v>
      </c>
      <c r="B182" s="50" t="s">
        <v>387</v>
      </c>
      <c r="C182" s="50">
        <v>9</v>
      </c>
      <c r="D182" s="50">
        <v>6</v>
      </c>
      <c r="E182" s="50">
        <v>4</v>
      </c>
    </row>
    <row r="183" spans="1:5" x14ac:dyDescent="0.3">
      <c r="A183" s="49" t="s">
        <v>388</v>
      </c>
      <c r="B183" s="50" t="s">
        <v>389</v>
      </c>
      <c r="C183" s="50">
        <v>2</v>
      </c>
      <c r="D183" s="50">
        <v>2</v>
      </c>
      <c r="E183" s="50">
        <v>1</v>
      </c>
    </row>
    <row r="184" spans="1:5" x14ac:dyDescent="0.3">
      <c r="A184" s="49" t="s">
        <v>40</v>
      </c>
      <c r="B184" s="50" t="s">
        <v>390</v>
      </c>
      <c r="C184" s="50">
        <v>2</v>
      </c>
      <c r="D184" s="50">
        <v>2</v>
      </c>
      <c r="E184" s="50">
        <v>1</v>
      </c>
    </row>
    <row r="185" spans="1:5" x14ac:dyDescent="0.3">
      <c r="A185" s="49" t="s">
        <v>391</v>
      </c>
      <c r="B185" s="50" t="s">
        <v>392</v>
      </c>
      <c r="C185" s="50">
        <v>1</v>
      </c>
      <c r="D185" s="50">
        <v>1</v>
      </c>
      <c r="E185" s="50">
        <v>1</v>
      </c>
    </row>
    <row r="186" spans="1:5" x14ac:dyDescent="0.3">
      <c r="A186" s="51" t="s">
        <v>393</v>
      </c>
      <c r="B186" s="52" t="s">
        <v>394</v>
      </c>
      <c r="C186" s="52">
        <v>121</v>
      </c>
      <c r="D186" s="52">
        <v>6</v>
      </c>
      <c r="E186" s="52">
        <v>6</v>
      </c>
    </row>
    <row r="189" spans="1:5" ht="17.25" customHeight="1" x14ac:dyDescent="0.35">
      <c r="A189" s="47" t="s">
        <v>395</v>
      </c>
    </row>
    <row r="190" spans="1:5" ht="100.8" x14ac:dyDescent="0.3">
      <c r="A190" s="53" t="s">
        <v>396</v>
      </c>
    </row>
    <row r="191" spans="1:5" ht="72" x14ac:dyDescent="0.3">
      <c r="A191" s="53" t="s">
        <v>397</v>
      </c>
    </row>
    <row r="192" spans="1:5" ht="43.2" x14ac:dyDescent="0.3">
      <c r="A192" s="53" t="s">
        <v>398</v>
      </c>
    </row>
    <row r="193" spans="1:5" ht="100.8" x14ac:dyDescent="0.3">
      <c r="A193" s="53" t="s">
        <v>399</v>
      </c>
    </row>
    <row r="194" spans="1:5" ht="115.2" x14ac:dyDescent="0.3">
      <c r="A194" s="53" t="s">
        <v>400</v>
      </c>
    </row>
    <row r="195" spans="1:5" ht="86.4" x14ac:dyDescent="0.3">
      <c r="A195" s="53" t="s">
        <v>401</v>
      </c>
    </row>
    <row r="197" spans="1:5" ht="24" customHeight="1" x14ac:dyDescent="0.3">
      <c r="A197" s="48" t="s">
        <v>402</v>
      </c>
      <c r="B197" s="48" t="s">
        <v>403</v>
      </c>
      <c r="C197" s="48" t="s">
        <v>404</v>
      </c>
      <c r="D197" s="48" t="s">
        <v>338</v>
      </c>
      <c r="E197" s="48" t="s">
        <v>358</v>
      </c>
    </row>
    <row r="198" spans="1:5" x14ac:dyDescent="0.3">
      <c r="A198" s="53" t="s">
        <v>41</v>
      </c>
      <c r="B198" t="s">
        <v>359</v>
      </c>
      <c r="C198">
        <v>22967</v>
      </c>
      <c r="D198">
        <v>7</v>
      </c>
      <c r="E198">
        <v>82</v>
      </c>
    </row>
    <row r="199" spans="1:5" x14ac:dyDescent="0.3">
      <c r="A199" s="53" t="s">
        <v>40</v>
      </c>
      <c r="B199" t="s">
        <v>361</v>
      </c>
      <c r="C199">
        <v>2021</v>
      </c>
      <c r="D199">
        <v>7</v>
      </c>
      <c r="E199">
        <v>12</v>
      </c>
    </row>
    <row r="200" spans="1:5" x14ac:dyDescent="0.3">
      <c r="A200" s="53" t="s">
        <v>42</v>
      </c>
      <c r="B200" t="s">
        <v>363</v>
      </c>
      <c r="C200">
        <v>618</v>
      </c>
      <c r="D200">
        <v>6</v>
      </c>
      <c r="E200">
        <v>7</v>
      </c>
    </row>
    <row r="201" spans="1:5" x14ac:dyDescent="0.3">
      <c r="A201" s="53" t="s">
        <v>34</v>
      </c>
      <c r="B201" t="s">
        <v>365</v>
      </c>
      <c r="C201">
        <v>292</v>
      </c>
      <c r="D201">
        <v>4</v>
      </c>
      <c r="E201">
        <v>76</v>
      </c>
    </row>
    <row r="202" spans="1:5" x14ac:dyDescent="0.3">
      <c r="A202" s="53" t="s">
        <v>360</v>
      </c>
      <c r="B202" t="s">
        <v>366</v>
      </c>
      <c r="C202">
        <v>192</v>
      </c>
      <c r="D202">
        <v>6</v>
      </c>
      <c r="E202">
        <v>13</v>
      </c>
    </row>
    <row r="203" spans="1:5" x14ac:dyDescent="0.3">
      <c r="A203" s="53" t="s">
        <v>377</v>
      </c>
      <c r="B203" t="s">
        <v>368</v>
      </c>
      <c r="C203">
        <v>170</v>
      </c>
      <c r="D203">
        <v>6</v>
      </c>
      <c r="E203">
        <v>5</v>
      </c>
    </row>
    <row r="204" spans="1:5" x14ac:dyDescent="0.3">
      <c r="A204" s="53" t="s">
        <v>375</v>
      </c>
      <c r="B204" t="s">
        <v>370</v>
      </c>
      <c r="C204">
        <v>122</v>
      </c>
      <c r="D204">
        <v>5</v>
      </c>
      <c r="E204">
        <v>11</v>
      </c>
    </row>
    <row r="205" spans="1:5" x14ac:dyDescent="0.3">
      <c r="A205" s="53" t="s">
        <v>32</v>
      </c>
      <c r="B205" t="s">
        <v>371</v>
      </c>
      <c r="C205">
        <v>86</v>
      </c>
      <c r="D205">
        <v>2</v>
      </c>
      <c r="E205">
        <v>5</v>
      </c>
    </row>
    <row r="206" spans="1:5" x14ac:dyDescent="0.3">
      <c r="A206" s="53" t="s">
        <v>44</v>
      </c>
      <c r="B206" t="s">
        <v>373</v>
      </c>
      <c r="C206">
        <v>74</v>
      </c>
      <c r="D206">
        <v>2</v>
      </c>
      <c r="E206">
        <v>2</v>
      </c>
    </row>
    <row r="207" spans="1:5" x14ac:dyDescent="0.3">
      <c r="A207" s="53" t="s">
        <v>33</v>
      </c>
      <c r="B207" t="s">
        <v>374</v>
      </c>
      <c r="C207">
        <v>47</v>
      </c>
      <c r="D207">
        <v>3</v>
      </c>
      <c r="E207">
        <v>7</v>
      </c>
    </row>
    <row r="208" spans="1:5" x14ac:dyDescent="0.3">
      <c r="A208" s="53" t="s">
        <v>381</v>
      </c>
      <c r="B208" t="s">
        <v>376</v>
      </c>
      <c r="C208">
        <v>28</v>
      </c>
      <c r="D208">
        <v>7</v>
      </c>
      <c r="E208">
        <v>6</v>
      </c>
    </row>
    <row r="209" spans="1:5" x14ac:dyDescent="0.3">
      <c r="A209" s="53" t="s">
        <v>384</v>
      </c>
      <c r="B209" t="s">
        <v>378</v>
      </c>
      <c r="C209">
        <v>16</v>
      </c>
      <c r="D209">
        <v>4</v>
      </c>
      <c r="E209">
        <v>5</v>
      </c>
    </row>
    <row r="210" spans="1:5" x14ac:dyDescent="0.3">
      <c r="A210" s="53" t="s">
        <v>405</v>
      </c>
      <c r="B210" t="s">
        <v>380</v>
      </c>
      <c r="C210">
        <v>16</v>
      </c>
      <c r="D210">
        <v>4</v>
      </c>
      <c r="E210">
        <v>2</v>
      </c>
    </row>
    <row r="211" spans="1:5" x14ac:dyDescent="0.3">
      <c r="A211" s="53" t="s">
        <v>386</v>
      </c>
      <c r="B211" t="s">
        <v>382</v>
      </c>
      <c r="C211">
        <v>9</v>
      </c>
      <c r="D211">
        <v>6</v>
      </c>
      <c r="E211">
        <v>4</v>
      </c>
    </row>
    <row r="212" spans="1:5" x14ac:dyDescent="0.3">
      <c r="A212" s="53" t="s">
        <v>388</v>
      </c>
      <c r="B212" t="s">
        <v>383</v>
      </c>
      <c r="C212">
        <v>2</v>
      </c>
      <c r="D212">
        <v>2</v>
      </c>
      <c r="E212">
        <v>1</v>
      </c>
    </row>
    <row r="213" spans="1:5" x14ac:dyDescent="0.3">
      <c r="A213" s="53" t="s">
        <v>391</v>
      </c>
      <c r="B213" t="s">
        <v>385</v>
      </c>
      <c r="C213">
        <v>1</v>
      </c>
      <c r="D213">
        <v>1</v>
      </c>
      <c r="E213">
        <v>1</v>
      </c>
    </row>
    <row r="214" spans="1:5" x14ac:dyDescent="0.3">
      <c r="A214" s="53" t="s">
        <v>393</v>
      </c>
      <c r="B214" t="s">
        <v>387</v>
      </c>
      <c r="C214">
        <v>37</v>
      </c>
      <c r="D214">
        <v>1</v>
      </c>
      <c r="E214">
        <v>19</v>
      </c>
    </row>
  </sheetData>
  <mergeCells count="9">
    <mergeCell ref="A9:F9"/>
    <mergeCell ref="A10:F10"/>
    <mergeCell ref="A138:F138"/>
    <mergeCell ref="A3:F3"/>
    <mergeCell ref="A4:F4"/>
    <mergeCell ref="A5:F5"/>
    <mergeCell ref="A6:F6"/>
    <mergeCell ref="A7:F7"/>
    <mergeCell ref="A8:F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39f888-1d54-44c1-9147-d2b2eb8b326f">
      <Terms xmlns="http://schemas.microsoft.com/office/infopath/2007/PartnerControls"/>
    </lcf76f155ced4ddcb4097134ff3c332f>
    <TaxCatchAll xmlns="14bfe310-4730-4037-aa5c-c6767e6839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38BF9FE2A4C49A333E78207BCF157" ma:contentTypeVersion="13" ma:contentTypeDescription="Create a new document." ma:contentTypeScope="" ma:versionID="379dfeea6475164798936b9e50b24299">
  <xsd:schema xmlns:xsd="http://www.w3.org/2001/XMLSchema" xmlns:xs="http://www.w3.org/2001/XMLSchema" xmlns:p="http://schemas.microsoft.com/office/2006/metadata/properties" xmlns:ns2="af39f888-1d54-44c1-9147-d2b2eb8b326f" xmlns:ns3="14bfe310-4730-4037-aa5c-c6767e683983" targetNamespace="http://schemas.microsoft.com/office/2006/metadata/properties" ma:root="true" ma:fieldsID="8b97ecff4b8d51f006df2947b04de14b" ns2:_="" ns3:_="">
    <xsd:import namespace="af39f888-1d54-44c1-9147-d2b2eb8b326f"/>
    <xsd:import namespace="14bfe310-4730-4037-aa5c-c6767e683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9f888-1d54-44c1-9147-d2b2eb8b3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fe310-4730-4037-aa5c-c6767e68398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40d5fb-3dca-4be0-a365-84c3cd155459}" ma:internalName="TaxCatchAll" ma:showField="CatchAllData" ma:web="14bfe310-4730-4037-aa5c-c6767e6839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9D21FB-73D5-4E00-9F58-535A1F054192}">
  <ds:schemaRefs>
    <ds:schemaRef ds:uri="http://schemas.microsoft.com/office/2006/metadata/properties"/>
    <ds:schemaRef ds:uri="http://schemas.microsoft.com/office/infopath/2007/PartnerControls"/>
    <ds:schemaRef ds:uri="af39f888-1d54-44c1-9147-d2b2eb8b326f"/>
    <ds:schemaRef ds:uri="14bfe310-4730-4037-aa5c-c6767e683983"/>
  </ds:schemaRefs>
</ds:datastoreItem>
</file>

<file path=customXml/itemProps2.xml><?xml version="1.0" encoding="utf-8"?>
<ds:datastoreItem xmlns:ds="http://schemas.openxmlformats.org/officeDocument/2006/customXml" ds:itemID="{52F98FBC-73DF-4082-A0BA-18C095CBE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442B30-5067-492F-822D-1A0DF053A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39f888-1d54-44c1-9147-d2b2eb8b326f"/>
    <ds:schemaRef ds:uri="14bfe310-4730-4037-aa5c-c6767e683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5W_Mapping_Method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ODHIAMBO Robert Brian</dc:creator>
  <cp:keywords/>
  <dc:description/>
  <cp:lastModifiedBy>Mohammed Amimul Shakib</cp:lastModifiedBy>
  <cp:revision/>
  <dcterms:created xsi:type="dcterms:W3CDTF">2026-09-17T09:00:52Z</dcterms:created>
  <dcterms:modified xsi:type="dcterms:W3CDTF">2026-10-02T17:28:20Z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0x01010071438BF9FE2A4C49A333E78207BCF157</vt:lpwstr>
  </property>
  <property fmtid="{D5CDD505-2E9C-101B-9397-08002B2CF9AE}" pid="3" name="MediaServiceImageTags">
    <vt:lpwstr/>
  </property>
</Properties>
</file>