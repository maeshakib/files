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hcr365-my.sharepoint.com/personal/shakibm_unhcr_org/Documents/Documents/2019098_pc_backup/resume/Job Apply/2026/SCCCM NOA Assistant Information Management Officer/IM questions and answer/"/>
    </mc:Choice>
  </mc:AlternateContent>
  <xr:revisionPtr revIDLastSave="20" documentId="11_A7B647A87E3BD074135AE5C4817C74C90DB7E114" xr6:coauthVersionLast="47" xr6:coauthVersionMax="47" xr10:uidLastSave="{ED3CB94B-95EB-4B13-92C9-2E6F5657FD1D}"/>
  <bookViews>
    <workbookView xWindow="-108" yWindow="-108" windowWidth="23256" windowHeight="12456" tabRatio="500" activeTab="1" xr2:uid="{00000000-000D-0000-FFFF-FFFF00000000}"/>
  </bookViews>
  <sheets>
    <sheet name="Sheet1" sheetId="5" r:id="rId1"/>
    <sheet name="Work Plan" sheetId="1" r:id="rId2"/>
    <sheet name="Reporting Calendar" sheetId="2" r:id="rId3"/>
    <sheet name="Roles &amp; Data Quality" sheetId="3" r:id="rId4"/>
    <sheet name="Summary" sheetId="4" r:id="rId5"/>
  </sheets>
  <definedNames>
    <definedName name="_xlnm._FilterDatabase" localSheetId="1" hidden="1">'Work Plan'!$A$4:$M$61</definedName>
    <definedName name="_xlnm.Print_Area" localSheetId="1">'Work Plan'!$A$1:$M$63</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7" i="4" l="1"/>
  <c r="B34" i="4"/>
  <c r="B33" i="4"/>
  <c r="B32" i="4"/>
  <c r="B31" i="4"/>
  <c r="B30" i="4"/>
  <c r="B29" i="4"/>
  <c r="B28" i="4"/>
  <c r="B35" i="4" s="1"/>
  <c r="B24" i="4"/>
  <c r="B23" i="4"/>
  <c r="B22" i="4"/>
  <c r="B25" i="4" s="1"/>
  <c r="B21" i="4"/>
  <c r="B20" i="4"/>
  <c r="B19" i="4"/>
  <c r="B18" i="4"/>
  <c r="B14" i="4"/>
  <c r="B13" i="4"/>
  <c r="B12" i="4"/>
  <c r="B11" i="4"/>
  <c r="B10" i="4"/>
  <c r="B9" i="4"/>
  <c r="B8" i="4"/>
  <c r="B7" i="4"/>
  <c r="B6" i="4"/>
  <c r="B5" i="4"/>
  <c r="B15" i="4" s="1"/>
</calcChain>
</file>

<file path=xl/sharedStrings.xml><?xml version="1.0" encoding="utf-8"?>
<sst xmlns="http://schemas.openxmlformats.org/spreadsheetml/2006/main" count="1521" uniqueCount="631">
  <si>
    <t>SCCCM Sector - Information Management Work Plan</t>
  </si>
  <si>
    <t>Shelter &amp; NFI | Camp Coordination and Camp Management | Site Planning &amp; Site Development  -  IM systems, products, capacity building and coordination supporting evidence-based response</t>
  </si>
  <si>
    <t>Ref</t>
  </si>
  <si>
    <t>Pillar</t>
  </si>
  <si>
    <t>IM system / dataset</t>
  </si>
  <si>
    <t>AoR</t>
  </si>
  <si>
    <t>End product</t>
  </si>
  <si>
    <t>Purpose</t>
  </si>
  <si>
    <t>Key message</t>
  </si>
  <si>
    <t>Frequency</t>
  </si>
  <si>
    <t>Data source / provider</t>
  </si>
  <si>
    <t>Primary audience</t>
  </si>
  <si>
    <t>Dissemination channel</t>
  </si>
  <si>
    <t>Responsible</t>
  </si>
  <si>
    <t>Status</t>
  </si>
  <si>
    <t>A1</t>
  </si>
  <si>
    <t>A. Emergency preparedness &amp; response</t>
  </si>
  <si>
    <t>Daily Incident Reporting</t>
  </si>
  <si>
    <t>CCCM / All</t>
  </si>
  <si>
    <t>Daily incident report, daily dataset &amp; Daily Incident Dashboard</t>
  </si>
  <si>
    <t>Capture key information within the first 24 hours of an incident in all 33 camps so response can be triggered immediately.</t>
  </si>
  <si>
    <t>What happened, where, how many households and individuals were affected, and what immediate assistance is required.</t>
  </si>
  <si>
    <t>Daily</t>
  </si>
  <si>
    <t>Camp Focal Points / SMS agency via KoBo; cleaned by IOM NPM</t>
  </si>
  <si>
    <t>SCCCM partners, UNHCR IM, RRRC/CiC, ISCG</t>
  </si>
  <si>
    <t>Incident Report &amp; Dataset receiver email groups; dashboard</t>
  </si>
  <si>
    <t>Sector IMO (oversight); IOM NPM (collection)</t>
  </si>
  <si>
    <t>Established</t>
  </si>
  <si>
    <t>A2</t>
  </si>
  <si>
    <t>Rapid Damage Verification (RDV)</t>
  </si>
  <si>
    <t>Shelter / NFI</t>
  </si>
  <si>
    <t>Consolidated RDV dataset and damage-grade analysis</t>
  </si>
  <si>
    <t>Verify structural damage to shelters and camp infrastructure after fire, landslide or monsoon shocks to prioritise emergency repair.</t>
  </si>
  <si>
    <t>Which households sit in which damage grade, and the resulting shelter repair caseload by camp.</t>
  </si>
  <si>
    <t>Monthly</t>
  </si>
  <si>
    <t>IOM, UNHCR, BDRCS (moving to all-partner reporting)</t>
  </si>
  <si>
    <t>Shelter WG, SAG, partners, donors</t>
  </si>
  <si>
    <t>Email, ShareDrive, Shelter WG meeting</t>
  </si>
  <si>
    <t>Sector IMO; AoR focal points</t>
  </si>
  <si>
    <t>A3</t>
  </si>
  <si>
    <t>Displacement Tracker</t>
  </si>
  <si>
    <t>CCCM</t>
  </si>
  <si>
    <t>Displacement tracking dataset and situation snapshot</t>
  </si>
  <si>
    <t>Track population movement and temporary displacement when a cyclone or major event occurs.</t>
  </si>
  <si>
    <t>How many people are displaced, from where to where, and what they need first.</t>
  </si>
  <si>
    <t>Event-triggered</t>
  </si>
  <si>
    <t>SMS agencies, Camp Focal Points</t>
  </si>
  <si>
    <t>SAG, ISCG, RRRC, partners</t>
  </si>
  <si>
    <t>Email, situation snapshot</t>
  </si>
  <si>
    <t>Sector IMO</t>
  </si>
  <si>
    <t>Template ready - activate on trigger</t>
  </si>
  <si>
    <t>A4</t>
  </si>
  <si>
    <t>Cyclone Prepositioned Stock</t>
  </si>
  <si>
    <t>NFI / Shelter</t>
  </si>
  <si>
    <t>Prepositioned stock snapshot and readiness dashboard</t>
  </si>
  <si>
    <t>Show emergency response readiness before and during cyclone season.</t>
  </si>
  <si>
    <t>What emergency shelter and NFI stock is available, where it is held, and whether it meets the contingency target.</t>
  </si>
  <si>
    <t>BDRCS, IOM, UNHCR (expanding to all partners)</t>
  </si>
  <si>
    <t>SAG, NFI WG, EPRWG, donors</t>
  </si>
  <si>
    <t>Email, ShareDrive</t>
  </si>
  <si>
    <t>Sector IMO; NFI focal point</t>
  </si>
  <si>
    <t>Established - coverage expanding</t>
  </si>
  <si>
    <t>A5</t>
  </si>
  <si>
    <t>EPR Readiness Checklist</t>
  </si>
  <si>
    <t>All</t>
  </si>
  <si>
    <t>Partner emergency preparedness readiness matrix</t>
  </si>
  <si>
    <t>Confirm partner-level preparedness ahead of the monsoon and cyclone season.</t>
  </si>
  <si>
    <t>Which partners are response-ready and where the preparedness gaps sit.</t>
  </si>
  <si>
    <t>Annual</t>
  </si>
  <si>
    <t>All SCCCM partners</t>
  </si>
  <si>
    <t>SAG, EPRWG, partners</t>
  </si>
  <si>
    <t>Email, coordination meeting</t>
  </si>
  <si>
    <t>Sector IMO with Coordinator</t>
  </si>
  <si>
    <t>A6</t>
  </si>
  <si>
    <t>Joint Needs Assessment (JNA 4-hour / 72-hour)</t>
  </si>
  <si>
    <t>JNA dataset and first-phase rapid analysis</t>
  </si>
  <si>
    <t>Produce first-phase needs evidence within hours of a major event, using the questionnaire already agreed across sectors.</t>
  </si>
  <si>
    <t>What is needed, where and for how many people, within the first 72 hours.</t>
  </si>
  <si>
    <t>Camp focal points; collection by IOM NPM</t>
  </si>
  <si>
    <t>RCP, SAG, EPRWG, partners</t>
  </si>
  <si>
    <t>Flash report and dataset to receiver groups</t>
  </si>
  <si>
    <t>IOM NPM; Sector IMO</t>
  </si>
  <si>
    <t>A7</t>
  </si>
  <si>
    <t>Prepositioned stock mapping</t>
  </si>
  <si>
    <t>Stock preposition map and shortfall note</t>
  </si>
  <si>
    <t>Show where emergency stock sits relative to where the hazard is, so gaps are visible before the season, not during it.</t>
  </si>
  <si>
    <t>Whether prepositioned shelter and NFI stock is placed where the risk is, and the shortfall by camp.</t>
  </si>
  <si>
    <t>Contingency stock update (A4)</t>
  </si>
  <si>
    <t>Email, ShareDrive, on request</t>
  </si>
  <si>
    <t>A8</t>
  </si>
  <si>
    <t>Seasonal readiness reporting (monsoon and cyclone)</t>
  </si>
  <si>
    <t>Weekly readiness snapshot during the season</t>
  </si>
  <si>
    <t>Move preparedness reporting from monthly to weekly while the hazard window is open, so the sector knows its own capacity in real time.</t>
  </si>
  <si>
    <t>Stock, capacity and camp-level readiness ahead of and during each weather event.</t>
  </si>
  <si>
    <t>Seasonal</t>
  </si>
  <si>
    <t>Partner stock and capacity data; EPRWG</t>
  </si>
  <si>
    <t>EPRWG, SAG, partners, RRRC</t>
  </si>
  <si>
    <t>Email, readiness note, coordination meeting</t>
  </si>
  <si>
    <t>B1</t>
  </si>
  <si>
    <t>B. Routine service &amp; activity monitoring</t>
  </si>
  <si>
    <t>S-CCCM 5W activity reporting</t>
  </si>
  <si>
    <t>Consolidated 5W dataset, monthly activity analysis, RCP submission</t>
  </si>
  <si>
    <t>Maintain the single authoritative record of who is doing what, where, when and for whom across the sector.</t>
  </si>
  <si>
    <t>Coverage, reach and gaps by camp, activity and partner - the backbone of evidence-based programming.</t>
  </si>
  <si>
    <t>All SCCCM partners via reporting template</t>
  </si>
  <si>
    <t>RCP, SAG, Working Groups, partners, donors</t>
  </si>
  <si>
    <t>Email request, ShareDrive, RCP submission</t>
  </si>
  <si>
    <t>B2</t>
  </si>
  <si>
    <t>Cash for Work (CfW) reporting</t>
  </si>
  <si>
    <t>CCCM / SP-SD</t>
  </si>
  <si>
    <t>Consolidated CfW dataset submitted alongside the 5W</t>
  </si>
  <si>
    <t>Track Cash for Work volume, participation and geographic coverage.</t>
  </si>
  <si>
    <t>How many people accessed CfW, in which camps, and how equitably opportunities are spread.</t>
  </si>
  <si>
    <t>Partners implementing CfW</t>
  </si>
  <si>
    <t>RCP, SAG, partners</t>
  </si>
  <si>
    <t>B3</t>
  </si>
  <si>
    <t>Shelter &amp; NFI stock monitoring</t>
  </si>
  <si>
    <t>Monthly shelter and NFI stock snapshot</t>
  </si>
  <si>
    <t>Keep visibility of available and pipeline stock so distribution can be planned against real availability.</t>
  </si>
  <si>
    <t>What stock is available now, what is in the pipeline, and where shortfalls will bite first.</t>
  </si>
  <si>
    <t>Partners holding stock</t>
  </si>
  <si>
    <t>NFI WG, Shelter WG, SAG</t>
  </si>
  <si>
    <t>B4</t>
  </si>
  <si>
    <t>Shelter Progress Tracker</t>
  </si>
  <si>
    <t>Shelter</t>
  </si>
  <si>
    <t>Chronological shelter construction and reinforcement tracker</t>
  </si>
  <si>
    <t>Track cumulative shelter upgrade and reinforcement progress against assessed need.</t>
  </si>
  <si>
    <t>How many shelters have been built or reinforced, where, and how large the remaining gap is.</t>
  </si>
  <si>
    <t>Derived from the SCCCM 5W dataset</t>
  </si>
  <si>
    <t>Shelter WG, SAG, donors</t>
  </si>
  <si>
    <t>ShareDrive, WG meeting</t>
  </si>
  <si>
    <t>B5</t>
  </si>
  <si>
    <t>Shelter activities mapping</t>
  </si>
  <si>
    <t>Multi-year shelter activities dataset and map</t>
  </si>
  <si>
    <t>Maintain the historical record of shelter activity by location across years to inform targeting.</t>
  </si>
  <si>
    <t>Where shelter support has been delivered over time, and which locations have been repeatedly missed.</t>
  </si>
  <si>
    <t>SCCCM 4W / 5W dataset</t>
  </si>
  <si>
    <t>Shelter WG, SP/SD Task Force, SAG</t>
  </si>
  <si>
    <t>ShareDrive (SHL Support file)</t>
  </si>
  <si>
    <t>Established - update pending</t>
  </si>
  <si>
    <t>B6</t>
  </si>
  <si>
    <t>SMART service monitoring</t>
  </si>
  <si>
    <t>SMART site profile and service monitoring dashboard</t>
  </si>
  <si>
    <t>Monitor service availability and performance against agreed standards across all 33 camps.</t>
  </si>
  <si>
    <t>Which services meet the agreed standard in which camps, and where service gaps persist.</t>
  </si>
  <si>
    <t>Site Management Officers via KoBo</t>
  </si>
  <si>
    <t>SAG, CCCM WG, partners, UNHCR/IOM</t>
  </si>
  <si>
    <t>Dashboard, WG meeting</t>
  </si>
  <si>
    <t>Sector IMO with SM AoR</t>
  </si>
  <si>
    <t>In development - pilot &amp; training</t>
  </si>
  <si>
    <t>B7</t>
  </si>
  <si>
    <t>Capacity Sharing Initiative (CSI) reporting</t>
  </si>
  <si>
    <t>CSI KoBo form and monthly CSI dashboard</t>
  </si>
  <si>
    <t>Close the information gap between CSI teams and Camp Focal Points so CSI activity is captured reliably in the 5W.</t>
  </si>
  <si>
    <t>What capacity-sharing activity is delivered, where, and with what participation.</t>
  </si>
  <si>
    <t>CSI teams via KoBo</t>
  </si>
  <si>
    <t>SAG, CCCM WG, IOM &amp; UNHCR focal points</t>
  </si>
  <si>
    <t>Dashboard, email</t>
  </si>
  <si>
    <t>To establish - form to be built</t>
  </si>
  <si>
    <t>B8</t>
  </si>
  <si>
    <t>M&amp;E indicator matrix</t>
  </si>
  <si>
    <t>Monthly indicator results against JRP output and outcome targets</t>
  </si>
  <si>
    <t>Report sector indicator performance to RCP on the agreed reporting cycle.</t>
  </si>
  <si>
    <t>Progress against target by indicator, and which activity lines are falling behind.</t>
  </si>
  <si>
    <t>5W, CfW, stock and RDV datasets</t>
  </si>
  <si>
    <t>RCP, SAG, donors</t>
  </si>
  <si>
    <t>RCP submission</t>
  </si>
  <si>
    <t>B9</t>
  </si>
  <si>
    <t>LLL dashboard</t>
  </si>
  <si>
    <t>Published LLL dashboard and background dataset</t>
  </si>
  <si>
    <t>Publish the agreed LLL indicators on the response website on the product plan schedule.</t>
  </si>
  <si>
    <t>The current LLL picture for the sector, refreshed against the latest partner submission.</t>
  </si>
  <si>
    <t>Partner submissions consolidated by Sector IM</t>
  </si>
  <si>
    <t>Partners, donors, public</t>
  </si>
  <si>
    <t>rohingyaresponse.org</t>
  </si>
  <si>
    <t>Established - confirm acronym scope</t>
  </si>
  <si>
    <t>B10</t>
  </si>
  <si>
    <t>Site Management (SM) 5W reporting</t>
  </si>
  <si>
    <t>SM</t>
  </si>
  <si>
    <t>Consolidated SM 5W dataset</t>
  </si>
  <si>
    <t>Record site management and camp coordination delivery separately from shelter and NFI, so CCCM coverage can be seen in its own right.</t>
  </si>
  <si>
    <t>Which camps have functioning site management and where coverage is thin.</t>
  </si>
  <si>
    <t>SMS agencies and CCCM partners</t>
  </si>
  <si>
    <t>RCP, SAG, CCCM WG</t>
  </si>
  <si>
    <t>Sector IMO; SM AoR focal</t>
  </si>
  <si>
    <t>B11</t>
  </si>
  <si>
    <t>Site Development (SD) 4W reporting</t>
  </si>
  <si>
    <t>SD</t>
  </si>
  <si>
    <t>Consolidated SD 4W dataset</t>
  </si>
  <si>
    <t>Record site development works - access, drainage, slope stabilisation and infrastructure - which report in metres and area, not households.</t>
  </si>
  <si>
    <t>Linear metres and area delivered against what was identified as needing work.</t>
  </si>
  <si>
    <t>SD partners</t>
  </si>
  <si>
    <t>SP/SD Task Force, SAG</t>
  </si>
  <si>
    <t>Sector IMO; SD AoR focal</t>
  </si>
  <si>
    <t>B12</t>
  </si>
  <si>
    <t>Merged sector interactive dashboard</t>
  </si>
  <si>
    <t>Published Power BI dashboard and background dataset</t>
  </si>
  <si>
    <t>Give partners, management and donors one current picture of sector delivery instead of several partial ones.</t>
  </si>
  <si>
    <t>Sector delivery against target, by camp, partner and activity group.</t>
  </si>
  <si>
    <t>Consolidated 5W/4W, RDV and population data</t>
  </si>
  <si>
    <t>Partners, donors, RRRC, public</t>
  </si>
  <si>
    <t>rohingyaresponse.org and email groups</t>
  </si>
  <si>
    <t>B13</t>
  </si>
  <si>
    <t>Host community delivery reporting</t>
  </si>
  <si>
    <t>Host community dataset and operational presence map by union</t>
  </si>
  <si>
    <t>Make host community assistance visible. Camp-only reporting currently shows zero host community delivery, which is a reporting boundary rather than a real zero.</t>
  </si>
  <si>
    <t>Which unions are covered, which are not, and how far delivery sits below the host community target.</t>
  </si>
  <si>
    <t>Partner submissions on the corrected reporting route</t>
  </si>
  <si>
    <t>SAG, partners, donors, local authorities</t>
  </si>
  <si>
    <t>To establish - reporting route to be corrected</t>
  </si>
  <si>
    <t>B14</t>
  </si>
  <si>
    <t>NFI stock and distribution trackers</t>
  </si>
  <si>
    <t>NFI</t>
  </si>
  <si>
    <t>NFI stock tracker and distribution tracker</t>
  </si>
  <si>
    <t>Track NFI stock against the pipeline and distributions against the minimum package, so a pipeline break is predicted rather than discovered.</t>
  </si>
  <si>
    <t>What NFI stock exists, when the pipeline breaks, and when the next distribution cycle is due.</t>
  </si>
  <si>
    <t>Stock submissions and the SNFI 5W</t>
  </si>
  <si>
    <t>NFI WG, SAG, donors</t>
  </si>
  <si>
    <t>ShareDrive and on request</t>
  </si>
  <si>
    <t>B15</t>
  </si>
  <si>
    <t>Yearly shelter assistance tracker</t>
  </si>
  <si>
    <t>Cumulative annual shelter assistance tracker</t>
  </si>
  <si>
    <t>Show the annual shelter caseload reached against target so the residual caseload is known at any point in the year.</t>
  </si>
  <si>
    <t>Annual shelter coverage to date and the caseload still to be reached.</t>
  </si>
  <si>
    <t>SNFI 5W dataset</t>
  </si>
  <si>
    <t>Sector IMO; Shelter AoR focal</t>
  </si>
  <si>
    <t>B16</t>
  </si>
  <si>
    <t>Daily incident dashboard</t>
  </si>
  <si>
    <t>Published daily incident dashboard</t>
  </si>
  <si>
    <t>Give the response a same-day view of incidents across all camps, built on the daily incident reporting stream.</t>
  </si>
  <si>
    <t>Incident type, location and scale, refreshed daily.</t>
  </si>
  <si>
    <t>Daily incident KoBo, cleaned by IOM NPM</t>
  </si>
  <si>
    <t>Partners, UNHCR IM, RRRC, EPRWG</t>
  </si>
  <si>
    <t>Dashboard and incident email groups</t>
  </si>
  <si>
    <t>IOM NPM; Sector IMO oversight</t>
  </si>
  <si>
    <t>C1</t>
  </si>
  <si>
    <t>C. Reference &amp; baseline data</t>
  </si>
  <si>
    <t>Population data</t>
  </si>
  <si>
    <t>Sector population dataset at camp and block level</t>
  </si>
  <si>
    <t>Provide the single agreed denominator for every coverage, gap and per-capita calculation.</t>
  </si>
  <si>
    <t>How many people live where - the basis of every rate and ratio the sector publishes.</t>
  </si>
  <si>
    <t>UNHCR published population factsheet</t>
  </si>
  <si>
    <t>All partners, Working Groups</t>
  </si>
  <si>
    <t>ShareDrive</t>
  </si>
  <si>
    <t>C2</t>
  </si>
  <si>
    <t>Camp Focal Point contact management</t>
  </si>
  <si>
    <t>SM / SD / Shelter / NFI</t>
  </si>
  <si>
    <t>Camp Focal dashboard and validated contact list</t>
  </si>
  <si>
    <t>Maintain a current, validated focal point list per camp for each of the four thematic areas.</t>
  </si>
  <si>
    <t>Who to contact for which service in which camp, verified within the last two months.</t>
  </si>
  <si>
    <t>Bi-monthly</t>
  </si>
  <si>
    <t>UNHCR and IOM AoRs</t>
  </si>
  <si>
    <t>All partners, RRRC/CiC</t>
  </si>
  <si>
    <t>Dashboard, email groups</t>
  </si>
  <si>
    <t>C3</t>
  </si>
  <si>
    <t>Operational presence &amp; AoR mapping</t>
  </si>
  <si>
    <t>Operational presence map and AoR map</t>
  </si>
  <si>
    <t>Show which partner operates where, by area of responsibility.</t>
  </si>
  <si>
    <t>Partner footprint and coverage - who is present, and where no one is.</t>
  </si>
  <si>
    <t>Quarterly</t>
  </si>
  <si>
    <t>5W dataset with partner confirmation</t>
  </si>
  <si>
    <t>SAG, partners, donors, RRRC</t>
  </si>
  <si>
    <t>rohingyaresponse.org, email</t>
  </si>
  <si>
    <t>C4</t>
  </si>
  <si>
    <t>Facility mapping &amp; monitoring</t>
  </si>
  <si>
    <t>All / SP-SD</t>
  </si>
  <si>
    <t>Facility dashboard and facility dataset for 33 camps</t>
  </si>
  <si>
    <t>Map service facility footprints to support equitable provision, MSSP and facility rationalisation.</t>
  </si>
  <si>
    <t>What facilities exist where, which duplicate each other, and where service gaps sit.</t>
  </si>
  <si>
    <t>IOM NPM and UNHCR IM with partners</t>
  </si>
  <si>
    <t>SAG, SP/SD Task Force, all sectors</t>
  </si>
  <si>
    <t>Dashboard, dataset link</t>
  </si>
  <si>
    <t>Sector IMO with NPM / UNHCR IM</t>
  </si>
  <si>
    <t>Baseline done - next cycle TBC</t>
  </si>
  <si>
    <t>C5</t>
  </si>
  <si>
    <t>GIS repository</t>
  </si>
  <si>
    <t>Maintained GIS stock: shapefiles, MXDs, drone imagery, DEM, boundaries</t>
  </si>
  <si>
    <t>Provide a single versioned geospatial reference so all sector mapping uses the same base layers.</t>
  </si>
  <si>
    <t>Authoritative camp boundaries, blocks, pocket gates, fencing and terrain for analysis.</t>
  </si>
  <si>
    <t>Continuous</t>
  </si>
  <si>
    <t>IOM NPM (drone/DEM), ISCG, sector</t>
  </si>
  <si>
    <t>IM and GIS users across partners</t>
  </si>
  <si>
    <t>Google Drive (GIS Stock)</t>
  </si>
  <si>
    <t>C6</t>
  </si>
  <si>
    <t>Block-level hazard risk mapping</t>
  </si>
  <si>
    <t>SP-SD / Shelter</t>
  </si>
  <si>
    <t>Block hazard risk maps</t>
  </si>
  <si>
    <t>Identify blocks exposed to landslide, flood and windstorm risk ahead of the monsoon.</t>
  </si>
  <si>
    <t>Which blocks carry the highest risk and should be prioritised for mitigation or relocation.</t>
  </si>
  <si>
    <t>IOM NPM</t>
  </si>
  <si>
    <t>SP/SD Task Force, SAG, partners</t>
  </si>
  <si>
    <t>ShareDrive, printed maps</t>
  </si>
  <si>
    <t>Sector IMO with NPM</t>
  </si>
  <si>
    <t>C7</t>
  </si>
  <si>
    <t>MSSP / site planning dashboard</t>
  </si>
  <si>
    <t>SP-SD</t>
  </si>
  <si>
    <t>MSSP dashboard and vacant space dataset</t>
  </si>
  <si>
    <t>Provide the land and space evidence base for multi-sector settlement planning and facility rationalisation.</t>
  </si>
  <si>
    <t>Where usable space exists and where crowding is worst.</t>
  </si>
  <si>
    <t>SP/SD Task Force, IOM NPM, WFP, UNHCR</t>
  </si>
  <si>
    <t>SP/SD Task Force, SAG, RRRC</t>
  </si>
  <si>
    <t>Dashboard and ShareDrive</t>
  </si>
  <si>
    <t>In development - scope to be confirmed</t>
  </si>
  <si>
    <t>D1</t>
  </si>
  <si>
    <t>D. Assessment &amp; analysis</t>
  </si>
  <si>
    <t>Inter-Sector Needs Assessment (ISNA)</t>
  </si>
  <si>
    <t>SCCCM questions in the ISNA tool and sector findings chapter</t>
  </si>
  <si>
    <t>Generate representative population-level evidence on shelter, NFI and CCCM needs for JRP planning.</t>
  </si>
  <si>
    <t>What the population says it needs, and how that compares with what the sector delivered.</t>
  </si>
  <si>
    <t>IMAWG-led household and host community survey</t>
  </si>
  <si>
    <t>RCP/JRP, SAG, donors</t>
  </si>
  <si>
    <t>Report, dataset, website</t>
  </si>
  <si>
    <t>Sector IMO with IMAWG</t>
  </si>
  <si>
    <t>In progress - 2026 cycle</t>
  </si>
  <si>
    <t>D2</t>
  </si>
  <si>
    <t>Shelter Performance Standard (SPS) assessment</t>
  </si>
  <si>
    <t>SPS questionnaire, dataset and analytical report</t>
  </si>
  <si>
    <t>Measure shelter quality against the agreed shelter performance standards.</t>
  </si>
  <si>
    <t>What share of shelters meet standard, and which components fail most often.</t>
  </si>
  <si>
    <t>Periodic</t>
  </si>
  <si>
    <t>Sector-led assessment with partners</t>
  </si>
  <si>
    <t>Report, dataset</t>
  </si>
  <si>
    <t>Sector IMO with Technical Shelter Coordinator</t>
  </si>
  <si>
    <t>Under design</t>
  </si>
  <si>
    <t>D3</t>
  </si>
  <si>
    <t>Vacant space &amp; site planning evidence</t>
  </si>
  <si>
    <t>Vacant space verification dataset, SD catalogue, slope stabilisation update</t>
  </si>
  <si>
    <t>Provide the land and space evidence base underpinning site planning decisions.</t>
  </si>
  <si>
    <t>Where usable space exists and where slope risk constrains development.</t>
  </si>
  <si>
    <t>SP/SD Task Force and partners</t>
  </si>
  <si>
    <t>ShareDrive folder</t>
  </si>
  <si>
    <t>D4</t>
  </si>
  <si>
    <t>NFI assessment</t>
  </si>
  <si>
    <t>NFI assessment questionnaire, dataset and analysis</t>
  </si>
  <si>
    <t>Re-establish the NFI evidence base and the minimum package. The last full assessment was 2022 and the basket has changed since.</t>
  </si>
  <si>
    <t>Which items households hold, which they lack, and the realistic replenishment interval.</t>
  </si>
  <si>
    <t>Report and dataset</t>
  </si>
  <si>
    <t>To establish - second half of the year</t>
  </si>
  <si>
    <t>D5</t>
  </si>
  <si>
    <t>Post-assistance and post-distribution monitoring</t>
  </si>
  <si>
    <t>Consolidated PAM and PDM results</t>
  </si>
  <si>
    <t>Close the loop between what was delivered and what it achieved, rather than reporting delivery alone.</t>
  </si>
  <si>
    <t>Whether assistance reached the intended households and worked as intended.</t>
  </si>
  <si>
    <t>Partner PAM and PDM submissions</t>
  </si>
  <si>
    <t>Shelter WG, NFI WG, SAG</t>
  </si>
  <si>
    <t>Report and Working Group meeting</t>
  </si>
  <si>
    <t>In development - to strengthen</t>
  </si>
  <si>
    <t>E1</t>
  </si>
  <si>
    <t>E. Strategy, funding &amp; coordination</t>
  </si>
  <si>
    <t>JRP planning &amp; financial tracking</t>
  </si>
  <si>
    <t>JRP figures and periodic funding status snapshot</t>
  </si>
  <si>
    <t>Track secured budget by partner and activity group against JRP requirements.</t>
  </si>
  <si>
    <t>What is funded, what is not, and the delivery risk that the shortfall creates.</t>
  </si>
  <si>
    <t>RCP funding exercise and partner submissions</t>
  </si>
  <si>
    <t>SAG, RCP, donors</t>
  </si>
  <si>
    <t>E2</t>
  </si>
  <si>
    <t>Coordination documentation</t>
  </si>
  <si>
    <t>Meeting minutes, decision log and action tracker (SAG, WGs, Task Force)</t>
  </si>
  <si>
    <t>Record decisions and follow-up actions so coordination is traceable and accountable.</t>
  </si>
  <si>
    <t>What was decided, by whom, and which actions remain outstanding.</t>
  </si>
  <si>
    <t>Sector team</t>
  </si>
  <si>
    <t>SAG, WG members, partners</t>
  </si>
  <si>
    <t>Email groups, ShareDrive, website</t>
  </si>
  <si>
    <t>E3</t>
  </si>
  <si>
    <t>IM product plan &amp; website publication</t>
  </si>
  <si>
    <t>Annual IM product plan; products published on the response website</t>
  </si>
  <si>
    <t>Schedule and publish sector products predictably so partners know what is coming and when.</t>
  </si>
  <si>
    <t>The sector evidence calendar - what is published, when, and where to find it.</t>
  </si>
  <si>
    <t>Sector IM</t>
  </si>
  <si>
    <t>All partners, donors, public</t>
  </si>
  <si>
    <t>E4</t>
  </si>
  <si>
    <t>Monthly submission package to RCP</t>
  </si>
  <si>
    <t>4W/5W, CfW and caseload data in the RCP template</t>
  </si>
  <si>
    <t>Feed the sector contribution into the inter-sector picture in the common format, on the RCP deadline.</t>
  </si>
  <si>
    <t>Sector delivery and caseload, comparable with every other sector.</t>
  </si>
  <si>
    <t>Consolidated sector datasets</t>
  </si>
  <si>
    <t>RCP, Inter-Sector Working Group</t>
  </si>
  <si>
    <t>RCP template submission</t>
  </si>
  <si>
    <t>E5</t>
  </si>
  <si>
    <t>Log frame quality assurance</t>
  </si>
  <si>
    <t>QA note and corrected log frame before submission</t>
  </si>
  <si>
    <t>Catch unit errors, targets that exceed their own need figure, and non-numeric baselines before they are published and quoted.</t>
  </si>
  <si>
    <t>Every indicator has a consistent unit, a numeric baseline and a target within need.</t>
  </si>
  <si>
    <t>Draft sector log frame</t>
  </si>
  <si>
    <t>Sector Coordinators, SAG, RCP</t>
  </si>
  <si>
    <t>QA note with tracked corrections</t>
  </si>
  <si>
    <t>Sector IMO; Sector Coordinator</t>
  </si>
  <si>
    <t>To establish - new step for the next cycle</t>
  </si>
  <si>
    <t>E6</t>
  </si>
  <si>
    <t>5W template and data dictionary revision</t>
  </si>
  <si>
    <t>Revised template, data dictionary and change log</t>
  </si>
  <si>
    <t>Fix the structural gaps found in the current cycle before reporting reopens: priority tier, host community route, unit flags, camp-status de-duplication.</t>
  </si>
  <si>
    <t>What changed in the template, why, and how to report against it.</t>
  </si>
  <si>
    <t>Sector IM with Working Groups and IMAWG</t>
  </si>
  <si>
    <t>Template release and partner briefing</t>
  </si>
  <si>
    <t>To establish - priority action</t>
  </si>
  <si>
    <t>E7</t>
  </si>
  <si>
    <t>Camp field visits and data verification</t>
  </si>
  <si>
    <t>Verification notes and corrected records</t>
  </si>
  <si>
    <t>Check reported delivery against what is visible on the ground, so the dataset is verified rather than trusted.</t>
  </si>
  <si>
    <t>Whether the 5W matches the camp.</t>
  </si>
  <si>
    <t>Field observation with partners and camp focal points</t>
  </si>
  <si>
    <t>Sector team, partners</t>
  </si>
  <si>
    <t>Visit note to the sector team</t>
  </si>
  <si>
    <t>E8</t>
  </si>
  <si>
    <t>Ad-hoc analysis on request</t>
  </si>
  <si>
    <t>Requested analysis, note or briefing</t>
  </si>
  <si>
    <t>Answer operational questions from the Coordinators, SAG, RRRC or donors that fall outside the standing calendar, without letting them displace it.</t>
  </si>
  <si>
    <t>Varies by request; scoped and agreed before work starts.</t>
  </si>
  <si>
    <t>On request</t>
  </si>
  <si>
    <t>Existing sector datasets</t>
  </si>
  <si>
    <t>Sector Coordinators, SAG, RRRC, donors</t>
  </si>
  <si>
    <t>Email, note or briefing</t>
  </si>
  <si>
    <t>Established - capped at 15% of IM time</t>
  </si>
  <si>
    <t>F1</t>
  </si>
  <si>
    <t>F. Capacity building &amp; partner support</t>
  </si>
  <si>
    <t>Partner IM induction on the sector IM system</t>
  </si>
  <si>
    <t>Trained partner IM focal points and attendance record</t>
  </si>
  <si>
    <t>Make sure every partner can report correctly from the first cycle of the year, rather than being corrected for six months.</t>
  </si>
  <si>
    <t>How the 5W works, what each field means, and how the data is used.</t>
  </si>
  <si>
    <t>All appealing and implementing partners</t>
  </si>
  <si>
    <t>Workshop and guidance note</t>
  </si>
  <si>
    <t>Established - January</t>
  </si>
  <si>
    <t>F2</t>
  </si>
  <si>
    <t>4W/5W refresher and template-change briefings</t>
  </si>
  <si>
    <t>Refresher sessions and updated one-page quick sheet</t>
  </si>
  <si>
    <t>Hold reporting quality steady through partner staff turnover and any change to the template.</t>
  </si>
  <si>
    <t>What changed and how to report it.</t>
  </si>
  <si>
    <t>Partner IM focal points and camp-level staff</t>
  </si>
  <si>
    <t>Workshop and quick sheet</t>
  </si>
  <si>
    <t>F3</t>
  </si>
  <si>
    <t>KoBo training for assessment enumerators</t>
  </si>
  <si>
    <t>Trained enumerators for ISNA, SPS and NFI assessments</t>
  </si>
  <si>
    <t>Protect data quality at the point of collection, where most assessment errors are created.</t>
  </si>
  <si>
    <t>How to use the tool, code locations correctly and handle non-response.</t>
  </si>
  <si>
    <t>Sector IM with IOM NPM</t>
  </si>
  <si>
    <t>Enumerators and partner field staff</t>
  </si>
  <si>
    <t>Hands-on session</t>
  </si>
  <si>
    <t>Sector IMO; IOM NPM</t>
  </si>
  <si>
    <t>Established - per assessment cycle</t>
  </si>
  <si>
    <t>F4</t>
  </si>
  <si>
    <t>SMART training and refreshers for Site Management officers</t>
  </si>
  <si>
    <t>Trained SM officers and teams on the SMART tool</t>
  </si>
  <si>
    <t>Enable the SMART rollout across all 34 camps; the tool cannot go live without the people who complete it.</t>
  </si>
  <si>
    <t>How to complete the site profile and service monitoring questionnaire.</t>
  </si>
  <si>
    <t>Sector IM with SM AoR and UNHCR</t>
  </si>
  <si>
    <t>Site Management officers and teams</t>
  </si>
  <si>
    <t>Hands-on session and guidance note</t>
  </si>
  <si>
    <t>In development - rollout and refreshers</t>
  </si>
  <si>
    <t>F5</t>
  </si>
  <si>
    <t>One-to-one partner data quality follow-up</t>
  </si>
  <si>
    <t>Corrected submissions and a per-partner error trend</t>
  </si>
  <si>
    <t>Fix reporting problems at source instead of correcting them centrally every month.</t>
  </si>
  <si>
    <t>Which partners need support, and whether the support is working.</t>
  </si>
  <si>
    <t>Submission tracker and validation log</t>
  </si>
  <si>
    <t>Individual reporting partners</t>
  </si>
  <si>
    <t>Direct contact and written query</t>
  </si>
  <si>
    <t>G1</t>
  </si>
  <si>
    <t>G. Coordination &amp; representation</t>
  </si>
  <si>
    <t>Sector monthly coordination meeting</t>
  </si>
  <si>
    <t>Analysis slot, minutes and decision log</t>
  </si>
  <si>
    <t>Present the month evidence to partners and record what the sector decides on the back of it.</t>
  </si>
  <si>
    <t>What the data shows and what the sector is being asked to decide.</t>
  </si>
  <si>
    <t>Sector products of the cycle</t>
  </si>
  <si>
    <t>All partners</t>
  </si>
  <si>
    <t>Meeting and minutes published on the website</t>
  </si>
  <si>
    <t>G2</t>
  </si>
  <si>
    <t>Working Group and Task Force meetings</t>
  </si>
  <si>
    <t>Technical input, agreed templates and indicator definitions</t>
  </si>
  <si>
    <t>Agree reporting requirements with partners before they are issued, so the template is theirs as well as ours.</t>
  </si>
  <si>
    <t>Technical decisions on data, tools, standards and definitions.</t>
  </si>
  <si>
    <t>Shelter, SM, SD, NFI and SP/SD forums</t>
  </si>
  <si>
    <t>Working Group and Task Force members</t>
  </si>
  <si>
    <t>Meeting and minutes</t>
  </si>
  <si>
    <t>G3</t>
  </si>
  <si>
    <t>Strategic Advisory Group (SAG) briefing</t>
  </si>
  <si>
    <t>Evidence briefing and slide pack for the SAG</t>
  </si>
  <si>
    <t>Give the SAG the analysis it needs for prioritisation and escalation decisions.</t>
  </si>
  <si>
    <t>Coverage, gaps, funding position and the specific decision required.</t>
  </si>
  <si>
    <t>Sector analysis and funding data</t>
  </si>
  <si>
    <t>SAG members</t>
  </si>
  <si>
    <t>Briefing and slide pack</t>
  </si>
  <si>
    <t>Established - and on call</t>
  </si>
  <si>
    <t>G4</t>
  </si>
  <si>
    <t>IMAWG participation</t>
  </si>
  <si>
    <t>Harmonised indicators, tools and assessment calendar</t>
  </si>
  <si>
    <t>Keep sector data requirements aligned across sectors so partners are asked for the same figure once, in one format.</t>
  </si>
  <si>
    <t>Cross-sector IM standards and the assessment schedule.</t>
  </si>
  <si>
    <t>Information Management and Assessment Working Group</t>
  </si>
  <si>
    <t>IM officers across sectors</t>
  </si>
  <si>
    <t>Meeting</t>
  </si>
  <si>
    <t>G5</t>
  </si>
  <si>
    <t>EPRWG participation</t>
  </si>
  <si>
    <t>Sector readiness inputs to the inter-agency EPR process</t>
  </si>
  <si>
    <t>Keep sector preparedness data inside the inter-agency emergency process rather than parallel to it.</t>
  </si>
  <si>
    <t>Sector readiness ahead of the monsoon and cyclone seasons.</t>
  </si>
  <si>
    <t>Sector stock, capacity and camp readiness data</t>
  </si>
  <si>
    <t>EPRWG, SAG, partners</t>
  </si>
  <si>
    <t>Meeting and readiness note</t>
  </si>
  <si>
    <t>G6</t>
  </si>
  <si>
    <t>PSEA network and GiHA focal point</t>
  </si>
  <si>
    <t>Sector representation, updates to partners and follow-up actions</t>
  </si>
  <si>
    <t>Keep PSEA and gender commitments live in sector processes and reporting routes.</t>
  </si>
  <si>
    <t>PSEA reporting routes, risk mitigation actions and what partners must do.</t>
  </si>
  <si>
    <t>PSEA Network and GiHA</t>
  </si>
  <si>
    <t>Partners and network members</t>
  </si>
  <si>
    <t>Meeting and updates to partner groups</t>
  </si>
  <si>
    <t>Established - focal point to transition to a national partner</t>
  </si>
  <si>
    <t>G7</t>
  </si>
  <si>
    <t>Cross-sector meetings and workshops</t>
  </si>
  <si>
    <t>Sector position and data inputs to inter-sector processes</t>
  </si>
  <si>
    <t>Represent SCCCM data requirements where decisions affecting them are taken.</t>
  </si>
  <si>
    <t>Varies by forum.</t>
  </si>
  <si>
    <t>Inter-sector forums convened by RCP</t>
  </si>
  <si>
    <t>Other sectors and RCP</t>
  </si>
  <si>
    <t>Meeting or workshop</t>
  </si>
  <si>
    <t>G8</t>
  </si>
  <si>
    <t>Joint guidance notes with other sectors</t>
  </si>
  <si>
    <t>Agreed guidance notes, such as the volunteer guidance note with LSDS</t>
  </si>
  <si>
    <t>Settle recurring cross-sector questions once, in writing, instead of case by case.</t>
  </si>
  <si>
    <t>The agreed position and how partners should apply it.</t>
  </si>
  <si>
    <t>Sector team with the counterpart sector</t>
  </si>
  <si>
    <t>Partners, Working Groups</t>
  </si>
  <si>
    <t>Guidance note circulated and published</t>
  </si>
  <si>
    <t>In development</t>
  </si>
  <si>
    <t>Sources: SCCCM Sector IM handover note; the sector IM annual workplan; the 2026 SCCCM 5W dataset; the 2026 and 2027 JRP log frames. Rows marked "To establish" or "In development" are not yet producing regular output and carry an action for the coming cycle. Refs run A1-A8 emergency, B1-B16 routine monitoring, C1-C7 reference data, D1-D5 assessment, E1-E8 strategy and planning, F1-F5 capacity building, G1-G8 coordination and representation.</t>
  </si>
  <si>
    <t>Reporting calendar &amp; monthly rhythm</t>
  </si>
  <si>
    <t>When each product is produced. Monthly items repeat every month; the working rhythm below shows the sequence within a month.</t>
  </si>
  <si>
    <t>Product</t>
  </si>
  <si>
    <t>Jan</t>
  </si>
  <si>
    <t>Feb</t>
  </si>
  <si>
    <t>Mar</t>
  </si>
  <si>
    <t>Apr</t>
  </si>
  <si>
    <t>May</t>
  </si>
  <si>
    <t>Jun</t>
  </si>
  <si>
    <t>Jul</t>
  </si>
  <si>
    <t>Aug</t>
  </si>
  <si>
    <t>Sep</t>
  </si>
  <si>
    <t>Oct</t>
  </si>
  <si>
    <t>Nov</t>
  </si>
  <si>
    <t>Dec</t>
  </si>
  <si>
    <t>•</t>
  </si>
  <si>
    <t>Event-triggered and on-request items (A6 JNA, A3 Displacement Tracker, E8 ad-hoc analysis) carry no marks: they activate on a trigger, not on a calendar.</t>
  </si>
  <si>
    <t>Monthly working rhythm</t>
  </si>
  <si>
    <t>Week 1</t>
  </si>
  <si>
    <t>Issue the monthly IM data request to all partners (5W, CfW, stock, RDV, prepositioned stock; camp focal in collection months). Chase the partners who were late last cycle.</t>
  </si>
  <si>
    <t>Week 2</t>
  </si>
  <si>
    <t>Partner deadline. Update the submission tracker - on time, late, missing, by partner. Clean and validate: location codes, units, plausibility, duplicates, disaggregation. Return specific queries to partners.</t>
  </si>
  <si>
    <t>Week 3</t>
  </si>
  <si>
    <t>Consolidate the master datasets. Derive the shelter progress, NFI and yearly assistance trackers. Compute indicator results against the log frame. Submit the RCP package.</t>
  </si>
  <si>
    <t>Week 4</t>
  </si>
  <si>
    <t>Produce and quality-check products; publish dashboards and maps by the 20th and website and trackers by the 25th. Present findings, gaps and decisions at the sector coordination meeting.</t>
  </si>
  <si>
    <t>Monitor incident reporting, verify the NPM dataset and refresh the daily incident dashboard.</t>
  </si>
  <si>
    <t>From June to October, readiness and prepositioned stock reporting moves to weekly; the displacement tracker and JNA stay on standby.</t>
  </si>
  <si>
    <t>Roles, data quality and data responsibility</t>
  </si>
  <si>
    <t>Applied to every dataset and product in this work plan, every cycle.</t>
  </si>
  <si>
    <t>Roles</t>
  </si>
  <si>
    <t>Owns the IM work plan. Runs collection cycles, consolidates and quality-checks datasets, produces and publishes products, trains partners and represents the sector in IMAWG.</t>
  </si>
  <si>
    <t>Sector Coordinator</t>
  </si>
  <si>
    <t>Sets analytical priorities, endorses products before release, chairs the fora where findings are presented, escalates persistent non-reporting.</t>
  </si>
  <si>
    <t>AoR focal points (SM, SD, Shelter, NFI)</t>
  </si>
  <si>
    <t>Validate AoR-specific data, confirm camp focal point lists, quality-assure technical content and resolve partner queries in their area.</t>
  </si>
  <si>
    <t>Reporting partners</t>
  </si>
  <si>
    <t>Submit complete, on-time data using the agreed templates; nominate and maintain a reporting focal point and a named backup.</t>
  </si>
  <si>
    <t>Collects and cleans daily incident data; runs JNA; supports assessment collection; provides drone imagery, DEM and hazard risk products; hosts facility and MSSP dashboards.</t>
  </si>
  <si>
    <t>UNHCR IM Unit</t>
  </si>
  <si>
    <t>Provides population data, Power BI workspace and publication support, and shared software licences.</t>
  </si>
  <si>
    <t>RCP</t>
  </si>
  <si>
    <t>Sets inter-sector submission deadlines, consolidates the response-level picture and runs the periodic funding exercise.</t>
  </si>
  <si>
    <t>Data quality assurance - applied at every collection cycle</t>
  </si>
  <si>
    <t>1. Completeness</t>
  </si>
  <si>
    <t>Check every expected partner has reported; log and follow up non-reporters before consolidation rather than after publication.</t>
  </si>
  <si>
    <t>2. Validity</t>
  </si>
  <si>
    <t>Enforce controlled vocabularies (camp, block, partner, activity, unit) through KoBo constraints and cascading choice lists rather than by correcting afterwards.</t>
  </si>
  <si>
    <t>3. Consistency</t>
  </si>
  <si>
    <t>Reconcile against the agreed population baseline and the previous cycle; for implementing partners, reconcile project reporting with the sector 5W.</t>
  </si>
  <si>
    <t>4. Plausibility</t>
  </si>
  <si>
    <t>Flag logical impossibilities - end date before start date, reach above camp population, reached above target, camp-status indicators repeating monthly.</t>
  </si>
  <si>
    <t>5. Traceability</t>
  </si>
  <si>
    <t>Version every dataset with a date stamp; keep raw submissions unaltered alongside the cleaned master and log every correction.</t>
  </si>
  <si>
    <t>6. Documentation</t>
  </si>
  <si>
    <t>Publish figures with their source, reference period, unit and known limitations, so users can judge fitness for purpose.</t>
  </si>
  <si>
    <t>Data responsibility</t>
  </si>
  <si>
    <t>Personal data</t>
  </si>
  <si>
    <t>No personally identifiable information is collected or shared through sector products. Assessment datasets are anonymised before sharing.</t>
  </si>
  <si>
    <t>Aggregation</t>
  </si>
  <si>
    <t>Data is published at camp or block level; no household-level disclosure.</t>
  </si>
  <si>
    <t>Access</t>
  </si>
  <si>
    <t>Datasets are shared through managed sector email groups and controlled cloud storage, not open links.</t>
  </si>
  <si>
    <t>Classification</t>
  </si>
  <si>
    <t>Each product is public, partners-only or internal. Nothing moves to a wider class without the Sector Coordinator.</t>
  </si>
  <si>
    <t>Purpose limitation</t>
  </si>
  <si>
    <t>Data is collected only where a defined product or decision requires it. If no product uses an indicator, it is retired from the template.</t>
  </si>
  <si>
    <t>How this plan supports evidence-based response</t>
  </si>
  <si>
    <t>Common baselines</t>
  </si>
  <si>
    <t>One population figure, one camp and block reference and one partner list mean every product is comparable.</t>
  </si>
  <si>
    <t>Predictable cycles</t>
  </si>
  <si>
    <t>Partners know what is requested and when, which raises reporting rates and shortens turnaround.</t>
  </si>
  <si>
    <t>Gap visibility</t>
  </si>
  <si>
    <t>5W, facility mapping and hazard risk read together show where need, presence and risk do not overlap - the basis for reprioritisation.</t>
  </si>
  <si>
    <t>Decision linkage</t>
  </si>
  <si>
    <t>Every product carries a key message tied to a decision forum (SAG, Working Group, Task Force) rather than being published for its own sake.</t>
  </si>
  <si>
    <t>Feedback loop</t>
  </si>
  <si>
    <t>Findings return to partners through the Working Groups, so data providers see how their submissions were used.</t>
  </si>
  <si>
    <t>Capacity, not correction</t>
  </si>
  <si>
    <t>Partners are trained and supported to report correctly (pillar F) instead of having their data corrected centrally every month.</t>
  </si>
  <si>
    <t>Work plan summary</t>
  </si>
  <si>
    <t>Counts are live formulas over the Work Plan sheet - they update if rows are added or edited.</t>
  </si>
  <si>
    <t>By frequency</t>
  </si>
  <si>
    <t>Total</t>
  </si>
  <si>
    <t>By pillar</t>
  </si>
  <si>
    <t>By status</t>
  </si>
  <si>
    <t>Established / operating</t>
  </si>
  <si>
    <t>Baseline done, next cycle TBC</t>
  </si>
  <si>
    <t>In progress (assessment cycle)</t>
  </si>
  <si>
    <t>In development / pilot</t>
  </si>
  <si>
    <t>Template ready (on trigger)</t>
  </si>
  <si>
    <t>To establish</t>
  </si>
  <si>
    <t>Subtotal (must equal total below)</t>
  </si>
  <si>
    <t>Total systems and activities in plan</t>
  </si>
  <si>
    <t>New in this version</t>
  </si>
  <si>
    <t>A6-A8 emergency: JNA, prepositioned stock mapping, seasonal readiness reporting</t>
  </si>
  <si>
    <t>B10-B16 routine: SM 5W and SD 4W as separate streams, merged dashboard, host community reporting, NFI and annual shelter trackers, incident dashboard</t>
  </si>
  <si>
    <t>C7 MSSP / site planning dashboard</t>
  </si>
  <si>
    <t>D4-D5 NFI assessment and post-distribution monitoring</t>
  </si>
  <si>
    <t>E4-E8 RCP submission package, log frame QA, template revision, field verification, ad-hoc requests</t>
  </si>
  <si>
    <t>F1-F5 capacity building: induction, refreshers, KoBo and SMART training, one-to-one follow-up</t>
  </si>
  <si>
    <t>G1-G8 coordination: sector meeting, Working Groups, SAG, IMAWG, EPRWG, PSEA/GiHA, cross-sector, joint guidance</t>
  </si>
  <si>
    <t>Row Labels</t>
  </si>
  <si>
    <t>Grand Total</t>
  </si>
  <si>
    <t>Count of Pillar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</si>
</sst>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00395E"/>
      <name val="Arial"/>
      <charset val="1"/>
    </font>
    <font>
      <sz val="9"/>
      <color rgb="FF605E5C"/>
      <name val="Arial"/>
      <charset val="1"/>
    </font>
    <font>
      <b/>
      <sz val="10"/>
      <color rgb="FFFFFFFF"/>
      <name val="Arial"/>
      <charset val="1"/>
    </font>
    <font>
      <b/>
      <sz val="9"/>
      <color rgb="FF00395E"/>
      <name val="Arial"/>
      <charset val="1"/>
    </font>
    <font>
      <sz val="9"/>
      <color rgb="FF262626"/>
      <name val="Arial"/>
      <charset val="1"/>
    </font>
    <font>
      <b/>
      <sz val="9"/>
      <color rgb="FFC0392B"/>
      <name val="Arial"/>
      <charset val="1"/>
    </font>
    <font>
      <b/>
      <sz val="11"/>
      <color rgb="FFFFFFFF"/>
      <name val="Arial"/>
      <charset val="1"/>
    </font>
    <font>
      <b/>
      <sz val="11"/>
      <color rgb="FF262626"/>
      <name val="Arial"/>
      <charset val="1"/>
    </font>
    <font>
      <i/>
      <sz val="9"/>
      <color rgb="FF605E5C"/>
      <name val="Arial"/>
      <charset val="1"/>
    </font>
    <font>
      <b/>
      <sz val="11"/>
      <color rgb="FF0072BC"/>
      <name val="Arial"/>
      <charset val="1"/>
    </font>
    <font>
      <sz val="9"/>
      <name val="Arial"/>
      <charset val="1"/>
    </font>
    <font>
      <b/>
      <sz val="10"/>
      <color rgb="FF00395E"/>
      <name val="Arial"/>
      <charset val="1"/>
    </font>
    <font>
      <b/>
      <sz val="9"/>
      <color rgb="FF262626"/>
      <name val="Arial"/>
      <family val="2"/>
    </font>
  </fonts>
  <fills count="15">
    <fill>
      <patternFill patternType="none"/>
    </fill>
    <fill>
      <patternFill patternType="gray125"/>
    </fill>
    <fill>
      <patternFill patternType="solid">
        <fgColor rgb="FF0072BC"/>
        <bgColor rgb="FF008080"/>
      </patternFill>
    </fill>
    <fill>
      <patternFill patternType="solid">
        <fgColor rgb="FFF4F8FC"/>
        <bgColor rgb="FFFFFFFF"/>
      </patternFill>
    </fill>
    <fill>
      <patternFill patternType="solid">
        <fgColor rgb="FFFFFFFF"/>
        <bgColor rgb="FFF4F8FC"/>
      </patternFill>
    </fill>
    <fill>
      <patternFill patternType="solid">
        <fgColor theme="5" tint="0.79998168889431442"/>
        <bgColor rgb="FFFFFFFF"/>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39997558519241921"/>
        <bgColor rgb="FFFFFFFF"/>
      </patternFill>
    </fill>
    <fill>
      <patternFill patternType="solid">
        <fgColor theme="5" tint="0.59999389629810485"/>
        <bgColor rgb="FFFFFFFF"/>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79998168889431442"/>
        <bgColor rgb="FFFFFFFF"/>
      </patternFill>
    </fill>
    <fill>
      <patternFill patternType="solid">
        <fgColor theme="3" tint="0.59999389629810485"/>
        <bgColor indexed="64"/>
      </patternFill>
    </fill>
    <fill>
      <patternFill patternType="solid">
        <fgColor theme="3" tint="0.59999389629810485"/>
        <bgColor rgb="FFFFFFFF"/>
      </patternFill>
    </fill>
  </fills>
  <borders count="2">
    <border>
      <left/>
      <right/>
      <top/>
      <bottom/>
      <diagonal/>
    </border>
    <border>
      <left style="thin">
        <color rgb="FFBFD4E6"/>
      </left>
      <right style="thin">
        <color rgb="FFBFD4E6"/>
      </right>
      <top style="thin">
        <color rgb="FFBFD4E6"/>
      </top>
      <bottom style="thin">
        <color rgb="FFBFD4E6"/>
      </bottom>
      <diagonal/>
    </border>
  </borders>
  <cellStyleXfs count="1">
    <xf numFmtId="0" fontId="0" fillId="0" borderId="0"/>
  </cellStyleXfs>
  <cellXfs count="51">
    <xf numFmtId="0" fontId="0" fillId="0" borderId="0" xfId="0"/>
    <xf numFmtId="0" fontId="11" fillId="0" borderId="0" xfId="0" applyFont="1" applyAlignment="1">
      <alignment vertical="top" wrapText="1"/>
    </xf>
    <xf numFmtId="0" fontId="3" fillId="2" borderId="1" xfId="0" applyFont="1" applyFill="1" applyBorder="1" applyAlignment="1">
      <alignment vertical="center" wrapText="1"/>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horizontal="center"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7"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0" borderId="0" xfId="0" applyFont="1"/>
    <xf numFmtId="0" fontId="10" fillId="0" borderId="0" xfId="0" applyFont="1"/>
    <xf numFmtId="0" fontId="4" fillId="0" borderId="0" xfId="0" applyFont="1" applyAlignment="1">
      <alignment vertical="top"/>
    </xf>
    <xf numFmtId="0" fontId="4" fillId="0" borderId="0" xfId="0" applyFont="1" applyAlignment="1">
      <alignment vertical="top" wrapText="1"/>
    </xf>
    <xf numFmtId="0" fontId="11" fillId="0" borderId="1" xfId="0" applyFont="1" applyBorder="1"/>
    <xf numFmtId="0" fontId="4" fillId="0" borderId="1" xfId="0" applyFont="1" applyBorder="1" applyAlignment="1">
      <alignment horizontal="center"/>
    </xf>
    <xf numFmtId="0" fontId="4" fillId="3" borderId="1" xfId="0" applyFont="1" applyFill="1" applyBorder="1"/>
    <xf numFmtId="0" fontId="4" fillId="3" borderId="1" xfId="0" applyFont="1" applyFill="1" applyBorder="1" applyAlignment="1">
      <alignment horizontal="center"/>
    </xf>
    <xf numFmtId="0" fontId="12" fillId="0" borderId="0" xfId="0" applyFont="1"/>
    <xf numFmtId="0" fontId="12" fillId="0" borderId="0" xfId="0" applyFont="1" applyAlignment="1">
      <alignment horizontal="center"/>
    </xf>
    <xf numFmtId="0" fontId="5" fillId="0" borderId="0" xfId="0" applyFont="1" applyAlignment="1">
      <alignment vertical="top" wrapText="1"/>
    </xf>
    <xf numFmtId="0" fontId="0" fillId="0" borderId="0" xfId="0" pivotButton="1"/>
    <xf numFmtId="0" fontId="0" fillId="0" borderId="0" xfId="0" applyAlignment="1">
      <alignment horizontal="left"/>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13" fillId="0" borderId="1" xfId="0" applyFont="1" applyBorder="1" applyAlignment="1">
      <alignment vertical="top" wrapText="1"/>
    </xf>
    <xf numFmtId="0" fontId="13" fillId="3"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1" fillId="0" borderId="0" xfId="0" applyFont="1"/>
    <xf numFmtId="0" fontId="2" fillId="0" borderId="0" xfId="0" applyFont="1" applyAlignment="1">
      <alignment vertical="center" wrapText="1"/>
    </xf>
    <xf numFmtId="0" fontId="2" fillId="0" borderId="0" xfId="0" applyFont="1" applyAlignment="1">
      <alignment vertical="top" wrapText="1"/>
    </xf>
    <xf numFmtId="0" fontId="11" fillId="0" borderId="0" xfId="0" applyFont="1" applyAlignment="1">
      <alignment vertical="top" wrapText="1"/>
    </xf>
    <xf numFmtId="0" fontId="5" fillId="9"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vertical="top" wrapText="1"/>
    </xf>
    <xf numFmtId="0" fontId="5" fillId="13" borderId="1" xfId="0" applyFont="1" applyFill="1" applyBorder="1" applyAlignment="1">
      <alignment vertical="top" wrapText="1"/>
    </xf>
    <xf numFmtId="0" fontId="5" fillId="1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8FC"/>
      <rgbColor rgb="FFCCFFFF"/>
      <rgbColor rgb="FF660066"/>
      <rgbColor rgb="FFFF8080"/>
      <rgbColor rgb="FF0072BC"/>
      <rgbColor rgb="FFBFD4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05E5C"/>
      <rgbColor rgb="FF969696"/>
      <rgbColor rgb="FF00395E"/>
      <rgbColor rgb="FF339966"/>
      <rgbColor rgb="FF003300"/>
      <rgbColor rgb="FF333300"/>
      <rgbColor rgb="FFC0392B"/>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Amimul Shakib" refreshedDate="46295.489048842595" createdVersion="8" refreshedVersion="8" minRefreshableVersion="3" recordCount="57" xr:uid="{6B9E3E82-EE39-4D46-B36A-6F275639E72D}">
  <cacheSource type="worksheet">
    <worksheetSource ref="A4:M61" sheet="Work Plan"/>
  </cacheSource>
  <cacheFields count="13">
    <cacheField name="Ref" numFmtId="0">
      <sharedItems/>
    </cacheField>
    <cacheField name="Pillar" numFmtId="0">
      <sharedItems count="7">
        <s v="A. Emergency preparedness &amp; response"/>
        <s v="B. Routine service &amp; activity monitoring"/>
        <s v="C. Reference &amp; baseline data"/>
        <s v="D. Assessment &amp; analysis"/>
        <s v="E. Strategy, funding &amp; coordination"/>
        <s v="F. Capacity building &amp; partner support"/>
        <s v="G. Coordination &amp; representation"/>
      </sharedItems>
    </cacheField>
    <cacheField name="IM system / dataset" numFmtId="0">
      <sharedItems/>
    </cacheField>
    <cacheField name="AoR" numFmtId="0">
      <sharedItems/>
    </cacheField>
    <cacheField name="End product" numFmtId="0">
      <sharedItems/>
    </cacheField>
    <cacheField name="Purpose" numFmtId="0">
      <sharedItems/>
    </cacheField>
    <cacheField name="Key message" numFmtId="0">
      <sharedItems/>
    </cacheField>
    <cacheField name="Frequency" numFmtId="0">
      <sharedItems/>
    </cacheField>
    <cacheField name="Data source / provider" numFmtId="0">
      <sharedItems/>
    </cacheField>
    <cacheField name="Primary audience" numFmtId="0">
      <sharedItems/>
    </cacheField>
    <cacheField name="Dissemination channel" numFmtId="0">
      <sharedItems/>
    </cacheField>
    <cacheField name="Responsibl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s v="A1"/>
    <x v="0"/>
    <s v="Daily Incident Reporting"/>
    <s v="CCCM / All"/>
    <s v="Daily incident report, daily dataset &amp; Daily Incident Dashboard"/>
    <s v="Capture key information within the first 24 hours of an incident in all 33 camps so response can be triggered immediately."/>
    <s v="What happened, where, how many households and individuals were affected, and what immediate assistance is required."/>
    <s v="Daily"/>
    <s v="Camp Focal Points / SMS agency via KoBo; cleaned by IOM NPM"/>
    <s v="SCCCM partners, UNHCR IM, RRRC/CiC, ISCG"/>
    <s v="Incident Report &amp; Dataset receiver email groups; dashboard"/>
    <s v="Sector IMO (oversight); IOM NPM (collection)"/>
    <s v="Established"/>
  </r>
  <r>
    <s v="A2"/>
    <x v="0"/>
    <s v="Rapid Damage Verification (RDV)"/>
    <s v="Shelter / NFI"/>
    <s v="Consolidated RDV dataset and damage-grade analysis"/>
    <s v="Verify structural damage to shelters and camp infrastructure after fire, landslide or monsoon shocks to prioritise emergency repair."/>
    <s v="Which households sit in which damage grade, and the resulting shelter repair caseload by camp."/>
    <s v="Monthly"/>
    <s v="IOM, UNHCR, BDRCS (moving to all-partner reporting)"/>
    <s v="Shelter WG, SAG, partners, donors"/>
    <s v="Email, ShareDrive, Shelter WG meeting"/>
    <s v="Sector IMO; AoR focal points"/>
    <s v="Established"/>
  </r>
  <r>
    <s v="A3"/>
    <x v="0"/>
    <s v="Displacement Tracker"/>
    <s v="CCCM"/>
    <s v="Displacement tracking dataset and situation snapshot"/>
    <s v="Track population movement and temporary displacement when a cyclone or major event occurs."/>
    <s v="How many people are displaced, from where to where, and what they need first."/>
    <s v="Event-triggered"/>
    <s v="SMS agencies, Camp Focal Points"/>
    <s v="SAG, ISCG, RRRC, partners"/>
    <s v="Email, situation snapshot"/>
    <s v="Sector IMO"/>
    <s v="Template ready - activate on trigger"/>
  </r>
  <r>
    <s v="A4"/>
    <x v="0"/>
    <s v="Cyclone Prepositioned Stock"/>
    <s v="NFI / Shelter"/>
    <s v="Prepositioned stock snapshot and readiness dashboard"/>
    <s v="Show emergency response readiness before and during cyclone season."/>
    <s v="What emergency shelter and NFI stock is available, where it is held, and whether it meets the contingency target."/>
    <s v="Monthly"/>
    <s v="BDRCS, IOM, UNHCR (expanding to all partners)"/>
    <s v="SAG, NFI WG, EPRWG, donors"/>
    <s v="Email, ShareDrive"/>
    <s v="Sector IMO; NFI focal point"/>
    <s v="Established - coverage expanding"/>
  </r>
  <r>
    <s v="A5"/>
    <x v="0"/>
    <s v="EPR Readiness Checklist"/>
    <s v="All"/>
    <s v="Partner emergency preparedness readiness matrix"/>
    <s v="Confirm partner-level preparedness ahead of the monsoon and cyclone season."/>
    <s v="Which partners are response-ready and where the preparedness gaps sit."/>
    <s v="Annual"/>
    <s v="All SCCCM partners"/>
    <s v="SAG, EPRWG, partners"/>
    <s v="Email, coordination meeting"/>
    <s v="Sector IMO with Coordinator"/>
    <s v="Established"/>
  </r>
  <r>
    <s v="A6"/>
    <x v="0"/>
    <s v="Joint Needs Assessment (JNA 4-hour / 72-hour)"/>
    <s v="CCCM / All"/>
    <s v="JNA dataset and first-phase rapid analysis"/>
    <s v="Produce first-phase needs evidence within hours of a major event, using the questionnaire already agreed across sectors."/>
    <s v="What is needed, where and for how many people, within the first 72 hours."/>
    <s v="Event-triggered"/>
    <s v="Camp focal points; collection by IOM NPM"/>
    <s v="RCP, SAG, EPRWG, partners"/>
    <s v="Flash report and dataset to receiver groups"/>
    <s v="IOM NPM; Sector IMO"/>
    <s v="Template ready - activate on trigger"/>
  </r>
  <r>
    <s v="A7"/>
    <x v="0"/>
    <s v="Prepositioned stock mapping"/>
    <s v="NFI / Shelter"/>
    <s v="Stock preposition map and shortfall note"/>
    <s v="Show where emergency stock sits relative to where the hazard is, so gaps are visible before the season, not during it."/>
    <s v="Whether prepositioned shelter and NFI stock is placed where the risk is, and the shortfall by camp."/>
    <s v="Monthly"/>
    <s v="Contingency stock update (A4)"/>
    <s v="SAG, NFI WG, EPRWG, donors"/>
    <s v="Email, ShareDrive, on request"/>
    <s v="Sector IMO; NFI focal point"/>
    <s v="Established"/>
  </r>
  <r>
    <s v="A8"/>
    <x v="0"/>
    <s v="Seasonal readiness reporting (monsoon and cyclone)"/>
    <s v="All"/>
    <s v="Weekly readiness snapshot during the season"/>
    <s v="Move preparedness reporting from monthly to weekly while the hazard window is open, so the sector knows its own capacity in real time."/>
    <s v="Stock, capacity and camp-level readiness ahead of and during each weather event."/>
    <s v="Seasonal"/>
    <s v="Partner stock and capacity data; EPRWG"/>
    <s v="EPRWG, SAG, partners, RRRC"/>
    <s v="Email, readiness note, coordination meeting"/>
    <s v="Sector IMO; NFI focal point"/>
    <s v="Established"/>
  </r>
  <r>
    <s v="B1"/>
    <x v="1"/>
    <s v="S-CCCM 5W activity reporting"/>
    <s v="All"/>
    <s v="Consolidated 5W dataset, monthly activity analysis, RCP submission"/>
    <s v="Maintain the single authoritative record of who is doing what, where, when and for whom across the sector."/>
    <s v="Coverage, reach and gaps by camp, activity and partner - the backbone of evidence-based programming."/>
    <s v="Monthly"/>
    <s v="All SCCCM partners via reporting template"/>
    <s v="RCP, SAG, Working Groups, partners, donors"/>
    <s v="Email request, ShareDrive, RCP submission"/>
    <s v="Sector IMO"/>
    <s v="Established"/>
  </r>
  <r>
    <s v="B2"/>
    <x v="1"/>
    <s v="Cash for Work (CfW) reporting"/>
    <s v="CCCM / SP-SD"/>
    <s v="Consolidated CfW dataset submitted alongside the 5W"/>
    <s v="Track Cash for Work volume, participation and geographic coverage."/>
    <s v="How many people accessed CfW, in which camps, and how equitably opportunities are spread."/>
    <s v="Monthly"/>
    <s v="Partners implementing CfW"/>
    <s v="RCP, SAG, partners"/>
    <s v="Email, ShareDrive"/>
    <s v="Sector IMO"/>
    <s v="Established"/>
  </r>
  <r>
    <s v="B3"/>
    <x v="1"/>
    <s v="Shelter &amp; NFI stock monitoring"/>
    <s v="Shelter / NFI"/>
    <s v="Monthly shelter and NFI stock snapshot"/>
    <s v="Keep visibility of available and pipeline stock so distribution can be planned against real availability."/>
    <s v="What stock is available now, what is in the pipeline, and where shortfalls will bite first."/>
    <s v="Monthly"/>
    <s v="Partners holding stock"/>
    <s v="NFI WG, Shelter WG, SAG"/>
    <s v="Email, ShareDrive"/>
    <s v="Sector IMO"/>
    <s v="Established"/>
  </r>
  <r>
    <s v="B4"/>
    <x v="1"/>
    <s v="Shelter Progress Tracker"/>
    <s v="Shelter"/>
    <s v="Chronological shelter construction and reinforcement tracker"/>
    <s v="Track cumulative shelter upgrade and reinforcement progress against assessed need."/>
    <s v="How many shelters have been built or reinforced, where, and how large the remaining gap is."/>
    <s v="Monthly"/>
    <s v="Derived from the SCCCM 5W dataset"/>
    <s v="Shelter WG, SAG, donors"/>
    <s v="ShareDrive, WG meeting"/>
    <s v="Sector IMO"/>
    <s v="Established"/>
  </r>
  <r>
    <s v="B5"/>
    <x v="1"/>
    <s v="Shelter activities mapping"/>
    <s v="Shelter"/>
    <s v="Multi-year shelter activities dataset and map"/>
    <s v="Maintain the historical record of shelter activity by location across years to inform targeting."/>
    <s v="Where shelter support has been delivered over time, and which locations have been repeatedly missed."/>
    <s v="Monthly"/>
    <s v="SCCCM 4W / 5W dataset"/>
    <s v="Shelter WG, SP/SD Task Force, SAG"/>
    <s v="ShareDrive (SHL Support file)"/>
    <s v="Sector IMO"/>
    <s v="Established - update pending"/>
  </r>
  <r>
    <s v="B6"/>
    <x v="1"/>
    <s v="SMART service monitoring"/>
    <s v="CCCM"/>
    <s v="SMART site profile and service monitoring dashboard"/>
    <s v="Monitor service availability and performance against agreed standards across all 33 camps."/>
    <s v="Which services meet the agreed standard in which camps, and where service gaps persist."/>
    <s v="Monthly"/>
    <s v="Site Management Officers via KoBo"/>
    <s v="SAG, CCCM WG, partners, UNHCR/IOM"/>
    <s v="Dashboard, WG meeting"/>
    <s v="Sector IMO with SM AoR"/>
    <s v="In development - pilot &amp; training"/>
  </r>
  <r>
    <s v="B7"/>
    <x v="1"/>
    <s v="Capacity Sharing Initiative (CSI) reporting"/>
    <s v="CCCM"/>
    <s v="CSI KoBo form and monthly CSI dashboard"/>
    <s v="Close the information gap between CSI teams and Camp Focal Points so CSI activity is captured reliably in the 5W."/>
    <s v="What capacity-sharing activity is delivered, where, and with what participation."/>
    <s v="Monthly"/>
    <s v="CSI teams via KoBo"/>
    <s v="SAG, CCCM WG, IOM &amp; UNHCR focal points"/>
    <s v="Dashboard, email"/>
    <s v="Sector IMO"/>
    <s v="To establish - form to be built"/>
  </r>
  <r>
    <s v="B8"/>
    <x v="1"/>
    <s v="M&amp;E indicator matrix"/>
    <s v="All"/>
    <s v="Monthly indicator results against JRP output and outcome targets"/>
    <s v="Report sector indicator performance to RCP on the agreed reporting cycle."/>
    <s v="Progress against target by indicator, and which activity lines are falling behind."/>
    <s v="Monthly"/>
    <s v="5W, CfW, stock and RDV datasets"/>
    <s v="RCP, SAG, donors"/>
    <s v="RCP submission"/>
    <s v="Sector IMO"/>
    <s v="Established"/>
  </r>
  <r>
    <s v="B9"/>
    <x v="1"/>
    <s v="LLL dashboard"/>
    <s v="All"/>
    <s v="Published LLL dashboard and background dataset"/>
    <s v="Publish the agreed LLL indicators on the response website on the product plan schedule."/>
    <s v="The current LLL picture for the sector, refreshed against the latest partner submission."/>
    <s v="Monthly"/>
    <s v="Partner submissions consolidated by Sector IM"/>
    <s v="Partners, donors, public"/>
    <s v="rohingyaresponse.org"/>
    <s v="Sector IMO"/>
    <s v="Established - confirm acronym scope"/>
  </r>
  <r>
    <s v="B10"/>
    <x v="1"/>
    <s v="Site Management (SM) 5W reporting"/>
    <s v="SM"/>
    <s v="Consolidated SM 5W dataset"/>
    <s v="Record site management and camp coordination delivery separately from shelter and NFI, so CCCM coverage can be seen in its own right."/>
    <s v="Which camps have functioning site management and where coverage is thin."/>
    <s v="Monthly"/>
    <s v="SMS agencies and CCCM partners"/>
    <s v="RCP, SAG, CCCM WG"/>
    <s v="Email request, ShareDrive, RCP submission"/>
    <s v="Sector IMO; SM AoR focal"/>
    <s v="Established"/>
  </r>
  <r>
    <s v="B11"/>
    <x v="1"/>
    <s v="Site Development (SD) 4W reporting"/>
    <s v="SD"/>
    <s v="Consolidated SD 4W dataset"/>
    <s v="Record site development works - access, drainage, slope stabilisation and infrastructure - which report in metres and area, not households."/>
    <s v="Linear metres and area delivered against what was identified as needing work."/>
    <s v="Monthly"/>
    <s v="SD partners"/>
    <s v="SP/SD Task Force, SAG"/>
    <s v="Email request, ShareDrive, RCP submission"/>
    <s v="Sector IMO; SD AoR focal"/>
    <s v="Established"/>
  </r>
  <r>
    <s v="B12"/>
    <x v="1"/>
    <s v="Merged sector interactive dashboard"/>
    <s v="All"/>
    <s v="Published Power BI dashboard and background dataset"/>
    <s v="Give partners, management and donors one current picture of sector delivery instead of several partial ones."/>
    <s v="Sector delivery against target, by camp, partner and activity group."/>
    <s v="Monthly"/>
    <s v="Consolidated 5W/4W, RDV and population data"/>
    <s v="Partners, donors, RRRC, public"/>
    <s v="rohingyaresponse.org and email groups"/>
    <s v="Sector IMO"/>
    <s v="Established"/>
  </r>
  <r>
    <s v="B13"/>
    <x v="1"/>
    <s v="Host community delivery reporting"/>
    <s v="Shelter / NFI"/>
    <s v="Host community dataset and operational presence map by union"/>
    <s v="Make host community assistance visible. Camp-only reporting currently shows zero host community delivery, which is a reporting boundary rather than a real zero."/>
    <s v="Which unions are covered, which are not, and how far delivery sits below the host community target."/>
    <s v="Monthly"/>
    <s v="Partner submissions on the corrected reporting route"/>
    <s v="SAG, partners, donors, local authorities"/>
    <s v="rohingyaresponse.org and email groups"/>
    <s v="Sector IMO"/>
    <s v="To establish - reporting route to be corrected"/>
  </r>
  <r>
    <s v="B14"/>
    <x v="1"/>
    <s v="NFI stock and distribution trackers"/>
    <s v="NFI"/>
    <s v="NFI stock tracker and distribution tracker"/>
    <s v="Track NFI stock against the pipeline and distributions against the minimum package, so a pipeline break is predicted rather than discovered."/>
    <s v="What NFI stock exists, when the pipeline breaks, and when the next distribution cycle is due."/>
    <s v="Monthly"/>
    <s v="Stock submissions and the SNFI 5W"/>
    <s v="NFI WG, SAG, donors"/>
    <s v="ShareDrive and on request"/>
    <s v="Sector IMO; NFI focal point"/>
    <s v="Established"/>
  </r>
  <r>
    <s v="B15"/>
    <x v="1"/>
    <s v="Yearly shelter assistance tracker"/>
    <s v="Shelter"/>
    <s v="Cumulative annual shelter assistance tracker"/>
    <s v="Show the annual shelter caseload reached against target so the residual caseload is known at any point in the year."/>
    <s v="Annual shelter coverage to date and the caseload still to be reached."/>
    <s v="Monthly"/>
    <s v="SNFI 5W dataset"/>
    <s v="Shelter WG, SAG, donors"/>
    <s v="ShareDrive and on request"/>
    <s v="Sector IMO; Shelter AoR focal"/>
    <s v="Established"/>
  </r>
  <r>
    <s v="B16"/>
    <x v="1"/>
    <s v="Daily incident dashboard"/>
    <s v="CCCM / All"/>
    <s v="Published daily incident dashboard"/>
    <s v="Give the response a same-day view of incidents across all camps, built on the daily incident reporting stream."/>
    <s v="Incident type, location and scale, refreshed daily."/>
    <s v="Daily"/>
    <s v="Daily incident KoBo, cleaned by IOM NPM"/>
    <s v="Partners, UNHCR IM, RRRC, EPRWG"/>
    <s v="Dashboard and incident email groups"/>
    <s v="IOM NPM; Sector IMO oversight"/>
    <s v="Established"/>
  </r>
  <r>
    <s v="C1"/>
    <x v="2"/>
    <s v="Population data"/>
    <s v="All"/>
    <s v="Sector population dataset at camp and block level"/>
    <s v="Provide the single agreed denominator for every coverage, gap and per-capita calculation."/>
    <s v="How many people live where - the basis of every rate and ratio the sector publishes."/>
    <s v="Monthly"/>
    <s v="UNHCR published population factsheet"/>
    <s v="All partners, Working Groups"/>
    <s v="ShareDrive"/>
    <s v="Sector IMO"/>
    <s v="Established"/>
  </r>
  <r>
    <s v="C2"/>
    <x v="2"/>
    <s v="Camp Focal Point contact management"/>
    <s v="SM / SD / Shelter / NFI"/>
    <s v="Camp Focal dashboard and validated contact list"/>
    <s v="Maintain a current, validated focal point list per camp for each of the four thematic areas."/>
    <s v="Who to contact for which service in which camp, verified within the last two months."/>
    <s v="Bi-monthly"/>
    <s v="UNHCR and IOM AoRs"/>
    <s v="All partners, RRRC/CiC"/>
    <s v="Dashboard, email groups"/>
    <s v="Sector IMO"/>
    <s v="Established"/>
  </r>
  <r>
    <s v="C3"/>
    <x v="2"/>
    <s v="Operational presence &amp; AoR mapping"/>
    <s v="All"/>
    <s v="Operational presence map and AoR map"/>
    <s v="Show which partner operates where, by area of responsibility."/>
    <s v="Partner footprint and coverage - who is present, and where no one is."/>
    <s v="Quarterly"/>
    <s v="5W dataset with partner confirmation"/>
    <s v="SAG, partners, donors, RRRC"/>
    <s v="rohingyaresponse.org, email"/>
    <s v="Sector IMO"/>
    <s v="Established"/>
  </r>
  <r>
    <s v="C4"/>
    <x v="2"/>
    <s v="Facility mapping &amp; monitoring"/>
    <s v="All / SP-SD"/>
    <s v="Facility dashboard and facility dataset for 33 camps"/>
    <s v="Map service facility footprints to support equitable provision, MSSP and facility rationalisation."/>
    <s v="What facilities exist where, which duplicate each other, and where service gaps sit."/>
    <s v="Annual"/>
    <s v="IOM NPM and UNHCR IM with partners"/>
    <s v="SAG, SP/SD Task Force, all sectors"/>
    <s v="Dashboard, dataset link"/>
    <s v="Sector IMO with NPM / UNHCR IM"/>
    <s v="Baseline done - next cycle TBC"/>
  </r>
  <r>
    <s v="C5"/>
    <x v="2"/>
    <s v="GIS repository"/>
    <s v="All"/>
    <s v="Maintained GIS stock: shapefiles, MXDs, drone imagery, DEM, boundaries"/>
    <s v="Provide a single versioned geospatial reference so all sector mapping uses the same base layers."/>
    <s v="Authoritative camp boundaries, blocks, pocket gates, fencing and terrain for analysis."/>
    <s v="Continuous"/>
    <s v="IOM NPM (drone/DEM), ISCG, sector"/>
    <s v="IM and GIS users across partners"/>
    <s v="Google Drive (GIS Stock)"/>
    <s v="Sector IMO"/>
    <s v="Established"/>
  </r>
  <r>
    <s v="C6"/>
    <x v="2"/>
    <s v="Block-level hazard risk mapping"/>
    <s v="SP-SD / Shelter"/>
    <s v="Block hazard risk maps"/>
    <s v="Identify blocks exposed to landslide, flood and windstorm risk ahead of the monsoon."/>
    <s v="Which blocks carry the highest risk and should be prioritised for mitigation or relocation."/>
    <s v="Annual"/>
    <s v="IOM NPM"/>
    <s v="SP/SD Task Force, SAG, partners"/>
    <s v="ShareDrive, printed maps"/>
    <s v="Sector IMO with NPM"/>
    <s v="Established"/>
  </r>
  <r>
    <s v="C7"/>
    <x v="2"/>
    <s v="MSSP / site planning dashboard"/>
    <s v="SP-SD"/>
    <s v="MSSP dashboard and vacant space dataset"/>
    <s v="Provide the land and space evidence base for multi-sector settlement planning and facility rationalisation."/>
    <s v="Where usable space exists and where crowding is worst."/>
    <s v="Quarterly"/>
    <s v="SP/SD Task Force, IOM NPM, WFP, UNHCR"/>
    <s v="SP/SD Task Force, SAG, RRRC"/>
    <s v="Dashboard and ShareDrive"/>
    <s v="IOM NPM; Sector IMO"/>
    <s v="In development - scope to be confirmed"/>
  </r>
  <r>
    <s v="D1"/>
    <x v="3"/>
    <s v="Inter-Sector Needs Assessment (ISNA)"/>
    <s v="All"/>
    <s v="SCCCM questions in the ISNA tool and sector findings chapter"/>
    <s v="Generate representative population-level evidence on shelter, NFI and CCCM needs for JRP planning."/>
    <s v="What the population says it needs, and how that compares with what the sector delivered."/>
    <s v="Annual"/>
    <s v="IMAWG-led household and host community survey"/>
    <s v="RCP/JRP, SAG, donors"/>
    <s v="Report, dataset, website"/>
    <s v="Sector IMO with IMAWG"/>
    <s v="In progress - 2026 cycle"/>
  </r>
  <r>
    <s v="D2"/>
    <x v="3"/>
    <s v="Shelter Performance Standard (SPS) assessment"/>
    <s v="Shelter"/>
    <s v="SPS questionnaire, dataset and analytical report"/>
    <s v="Measure shelter quality against the agreed shelter performance standards."/>
    <s v="What share of shelters meet standard, and which components fail most often."/>
    <s v="Periodic"/>
    <s v="Sector-led assessment with partners"/>
    <s v="Shelter WG, SAG, donors"/>
    <s v="Report, dataset"/>
    <s v="Sector IMO with Technical Shelter Coordinator"/>
    <s v="Under design"/>
  </r>
  <r>
    <s v="D3"/>
    <x v="3"/>
    <s v="Vacant space &amp; site planning evidence"/>
    <s v="SP-SD"/>
    <s v="Vacant space verification dataset, SD catalogue, slope stabilisation update"/>
    <s v="Provide the land and space evidence base underpinning site planning decisions."/>
    <s v="Where usable space exists and where slope risk constrains development."/>
    <s v="Quarterly"/>
    <s v="SP/SD Task Force and partners"/>
    <s v="SP/SD Task Force, SAG"/>
    <s v="ShareDrive folder"/>
    <s v="Sector IMO"/>
    <s v="Established"/>
  </r>
  <r>
    <s v="D4"/>
    <x v="3"/>
    <s v="NFI assessment"/>
    <s v="NFI"/>
    <s v="NFI assessment questionnaire, dataset and analysis"/>
    <s v="Re-establish the NFI evidence base and the minimum package. The last full assessment was 2022 and the basket has changed since."/>
    <s v="Which items households hold, which they lack, and the realistic replenishment interval."/>
    <s v="Annual"/>
    <s v="Sector-led assessment with partners"/>
    <s v="NFI WG, SAG, donors"/>
    <s v="Report and dataset"/>
    <s v="Sector IMO; NFI focal point"/>
    <s v="To establish - second half of the year"/>
  </r>
  <r>
    <s v="D5"/>
    <x v="3"/>
    <s v="Post-assistance and post-distribution monitoring"/>
    <s v="Shelter / NFI"/>
    <s v="Consolidated PAM and PDM results"/>
    <s v="Close the loop between what was delivered and what it achieved, rather than reporting delivery alone."/>
    <s v="Whether assistance reached the intended households and worked as intended."/>
    <s v="Quarterly"/>
    <s v="Partner PAM and PDM submissions"/>
    <s v="Shelter WG, NFI WG, SAG"/>
    <s v="Report and Working Group meeting"/>
    <s v="Sector IMO; AoR focal points"/>
    <s v="In development - to strengthen"/>
  </r>
  <r>
    <s v="E1"/>
    <x v="4"/>
    <s v="JRP planning &amp; financial tracking"/>
    <s v="All"/>
    <s v="JRP figures and periodic funding status snapshot"/>
    <s v="Track secured budget by partner and activity group against JRP requirements."/>
    <s v="What is funded, what is not, and the delivery risk that the shortfall creates."/>
    <s v="Quarterly"/>
    <s v="RCP funding exercise and partner submissions"/>
    <s v="SAG, RCP, donors"/>
    <s v="Email, ShareDrive"/>
    <s v="Sector IMO with Coordinator"/>
    <s v="Established"/>
  </r>
  <r>
    <s v="E2"/>
    <x v="4"/>
    <s v="Coordination documentation"/>
    <s v="All"/>
    <s v="Meeting minutes, decision log and action tracker (SAG, WGs, Task Force)"/>
    <s v="Record decisions and follow-up actions so coordination is traceable and accountable."/>
    <s v="What was decided, by whom, and which actions remain outstanding."/>
    <s v="Monthly"/>
    <s v="Sector team"/>
    <s v="SAG, WG members, partners"/>
    <s v="Email groups, ShareDrive, website"/>
    <s v="Sector IMO with Coordinator"/>
    <s v="Established"/>
  </r>
  <r>
    <s v="E3"/>
    <x v="4"/>
    <s v="IM product plan &amp; website publication"/>
    <s v="All"/>
    <s v="Annual IM product plan; products published on the response website"/>
    <s v="Schedule and publish sector products predictably so partners know what is coming and when."/>
    <s v="The sector evidence calendar - what is published, when, and where to find it."/>
    <s v="Annual"/>
    <s v="Sector IM"/>
    <s v="All partners, donors, public"/>
    <s v="rohingyaresponse.org"/>
    <s v="Sector IMO"/>
    <s v="Established"/>
  </r>
  <r>
    <s v="E4"/>
    <x v="4"/>
    <s v="Monthly submission package to RCP"/>
    <s v="All"/>
    <s v="4W/5W, CfW and caseload data in the RCP template"/>
    <s v="Feed the sector contribution into the inter-sector picture in the common format, on the RCP deadline."/>
    <s v="Sector delivery and caseload, comparable with every other sector."/>
    <s v="Monthly"/>
    <s v="Consolidated sector datasets"/>
    <s v="RCP, Inter-Sector Working Group"/>
    <s v="RCP template submission"/>
    <s v="Sector IMO"/>
    <s v="Established"/>
  </r>
  <r>
    <s v="E5"/>
    <x v="4"/>
    <s v="Log frame quality assurance"/>
    <s v="All"/>
    <s v="QA note and corrected log frame before submission"/>
    <s v="Catch unit errors, targets that exceed their own need figure, and non-numeric baselines before they are published and quoted."/>
    <s v="Every indicator has a consistent unit, a numeric baseline and a target within need."/>
    <s v="Annual"/>
    <s v="Draft sector log frame"/>
    <s v="Sector Coordinators, SAG, RCP"/>
    <s v="QA note with tracked corrections"/>
    <s v="Sector IMO; Sector Coordinator"/>
    <s v="To establish - new step for the next cycle"/>
  </r>
  <r>
    <s v="E6"/>
    <x v="4"/>
    <s v="5W template and data dictionary revision"/>
    <s v="All"/>
    <s v="Revised template, data dictionary and change log"/>
    <s v="Fix the structural gaps found in the current cycle before reporting reopens: priority tier, host community route, unit flags, camp-status de-duplication."/>
    <s v="What changed in the template, why, and how to report against it."/>
    <s v="Annual"/>
    <s v="Sector IM with Working Groups and IMAWG"/>
    <s v="All partners, Working Groups"/>
    <s v="Template release and partner briefing"/>
    <s v="Sector IMO"/>
    <s v="To establish - priority action"/>
  </r>
  <r>
    <s v="E7"/>
    <x v="4"/>
    <s v="Camp field visits and data verification"/>
    <s v="All"/>
    <s v="Verification notes and corrected records"/>
    <s v="Check reported delivery against what is visible on the ground, so the dataset is verified rather than trusted."/>
    <s v="Whether the 5W matches the camp."/>
    <s v="Monthly"/>
    <s v="Field observation with partners and camp focal points"/>
    <s v="Sector team, partners"/>
    <s v="Visit note to the sector team"/>
    <s v="Sector IMO; AoR focal points"/>
    <s v="Established"/>
  </r>
  <r>
    <s v="E8"/>
    <x v="4"/>
    <s v="Ad-hoc analysis on request"/>
    <s v="All"/>
    <s v="Requested analysis, note or briefing"/>
    <s v="Answer operational questions from the Coordinators, SAG, RRRC or donors that fall outside the standing calendar, without letting them displace it."/>
    <s v="Varies by request; scoped and agreed before work starts."/>
    <s v="On request"/>
    <s v="Existing sector datasets"/>
    <s v="Sector Coordinators, SAG, RRRC, donors"/>
    <s v="Email, note or briefing"/>
    <s v="Sector IMO"/>
    <s v="Established - capped at 15% of IM time"/>
  </r>
  <r>
    <s v="F1"/>
    <x v="5"/>
    <s v="Partner IM induction on the sector IM system"/>
    <s v="All"/>
    <s v="Trained partner IM focal points and attendance record"/>
    <s v="Make sure every partner can report correctly from the first cycle of the year, rather than being corrected for six months."/>
    <s v="How the 5W works, what each field means, and how the data is used."/>
    <s v="Annual"/>
    <s v="Sector IM"/>
    <s v="All appealing and implementing partners"/>
    <s v="Workshop and guidance note"/>
    <s v="Sector IMO; Sector Coordinator"/>
    <s v="Established - January"/>
  </r>
  <r>
    <s v="F2"/>
    <x v="5"/>
    <s v="4W/5W refresher and template-change briefings"/>
    <s v="All"/>
    <s v="Refresher sessions and updated one-page quick sheet"/>
    <s v="Hold reporting quality steady through partner staff turnover and any change to the template."/>
    <s v="What changed and how to report it."/>
    <s v="Periodic"/>
    <s v="Sector IM"/>
    <s v="Partner IM focal points and camp-level staff"/>
    <s v="Workshop and quick sheet"/>
    <s v="Sector IMO"/>
    <s v="Established"/>
  </r>
  <r>
    <s v="F3"/>
    <x v="5"/>
    <s v="KoBo training for assessment enumerators"/>
    <s v="All"/>
    <s v="Trained enumerators for ISNA, SPS and NFI assessments"/>
    <s v="Protect data quality at the point of collection, where most assessment errors are created."/>
    <s v="How to use the tool, code locations correctly and handle non-response."/>
    <s v="Periodic"/>
    <s v="Sector IM with IOM NPM"/>
    <s v="Enumerators and partner field staff"/>
    <s v="Hands-on session"/>
    <s v="Sector IMO; IOM NPM"/>
    <s v="Established - per assessment cycle"/>
  </r>
  <r>
    <s v="F4"/>
    <x v="5"/>
    <s v="SMART training and refreshers for Site Management officers"/>
    <s v="CCCM"/>
    <s v="Trained SM officers and teams on the SMART tool"/>
    <s v="Enable the SMART rollout across all 34 camps; the tool cannot go live without the people who complete it."/>
    <s v="How to complete the site profile and service monitoring questionnaire."/>
    <s v="Periodic"/>
    <s v="Sector IM with SM AoR and UNHCR"/>
    <s v="Site Management officers and teams"/>
    <s v="Hands-on session and guidance note"/>
    <s v="Sector IMO; SM AoR focal"/>
    <s v="In development - rollout and refreshers"/>
  </r>
  <r>
    <s v="F5"/>
    <x v="5"/>
    <s v="One-to-one partner data quality follow-up"/>
    <s v="All"/>
    <s v="Corrected submissions and a per-partner error trend"/>
    <s v="Fix reporting problems at source instead of correcting them centrally every month."/>
    <s v="Which partners need support, and whether the support is working."/>
    <s v="Monthly"/>
    <s v="Submission tracker and validation log"/>
    <s v="Individual reporting partners"/>
    <s v="Direct contact and written query"/>
    <s v="Sector IMO; AoR focal points"/>
    <s v="Established"/>
  </r>
  <r>
    <s v="G1"/>
    <x v="6"/>
    <s v="Sector monthly coordination meeting"/>
    <s v="All"/>
    <s v="Analysis slot, minutes and decision log"/>
    <s v="Present the month evidence to partners and record what the sector decides on the back of it."/>
    <s v="What the data shows and what the sector is being asked to decide."/>
    <s v="Monthly"/>
    <s v="Sector products of the cycle"/>
    <s v="All partners"/>
    <s v="Meeting and minutes published on the website"/>
    <s v="Sector IMO; Sector Coordinator"/>
    <s v="Established"/>
  </r>
  <r>
    <s v="G2"/>
    <x v="6"/>
    <s v="Working Group and Task Force meetings"/>
    <s v="All"/>
    <s v="Technical input, agreed templates and indicator definitions"/>
    <s v="Agree reporting requirements with partners before they are issued, so the template is theirs as well as ours."/>
    <s v="Technical decisions on data, tools, standards and definitions."/>
    <s v="Monthly"/>
    <s v="Shelter, SM, SD, NFI and SP/SD forums"/>
    <s v="Working Group and Task Force members"/>
    <s v="Meeting and minutes"/>
    <s v="Sector IMO; AoR focal points"/>
    <s v="Established"/>
  </r>
  <r>
    <s v="G3"/>
    <x v="6"/>
    <s v="Strategic Advisory Group (SAG) briefing"/>
    <s v="All"/>
    <s v="Evidence briefing and slide pack for the SAG"/>
    <s v="Give the SAG the analysis it needs for prioritisation and escalation decisions."/>
    <s v="Coverage, gaps, funding position and the specific decision required."/>
    <s v="Quarterly"/>
    <s v="Sector analysis and funding data"/>
    <s v="SAG members"/>
    <s v="Briefing and slide pack"/>
    <s v="Sector IMO; Sector Coordinator"/>
    <s v="Established - and on call"/>
  </r>
  <r>
    <s v="G4"/>
    <x v="6"/>
    <s v="IMAWG participation"/>
    <s v="All"/>
    <s v="Harmonised indicators, tools and assessment calendar"/>
    <s v="Keep sector data requirements aligned across sectors so partners are asked for the same figure once, in one format."/>
    <s v="Cross-sector IM standards and the assessment schedule."/>
    <s v="Monthly"/>
    <s v="Information Management and Assessment Working Group"/>
    <s v="IM officers across sectors"/>
    <s v="Meeting"/>
    <s v="Sector IMO"/>
    <s v="Established"/>
  </r>
  <r>
    <s v="G5"/>
    <x v="6"/>
    <s v="EPRWG participation"/>
    <s v="All"/>
    <s v="Sector readiness inputs to the inter-agency EPR process"/>
    <s v="Keep sector preparedness data inside the inter-agency emergency process rather than parallel to it."/>
    <s v="Sector readiness ahead of the monsoon and cyclone seasons."/>
    <s v="Monthly"/>
    <s v="Sector stock, capacity and camp readiness data"/>
    <s v="EPRWG, SAG, partners"/>
    <s v="Meeting and readiness note"/>
    <s v="Sector IMO; NFI focal point"/>
    <s v="Established"/>
  </r>
  <r>
    <s v="G6"/>
    <x v="6"/>
    <s v="PSEA network and GiHA focal point"/>
    <s v="All"/>
    <s v="Sector representation, updates to partners and follow-up actions"/>
    <s v="Keep PSEA and gender commitments live in sector processes and reporting routes."/>
    <s v="PSEA reporting routes, risk mitigation actions and what partners must do."/>
    <s v="Monthly"/>
    <s v="PSEA Network and GiHA"/>
    <s v="Partners and network members"/>
    <s v="Meeting and updates to partner groups"/>
    <s v="Sector IMO; Sector Coordinator"/>
    <s v="Established - focal point to transition to a national partner"/>
  </r>
  <r>
    <s v="G7"/>
    <x v="6"/>
    <s v="Cross-sector meetings and workshops"/>
    <s v="All"/>
    <s v="Sector position and data inputs to inter-sector processes"/>
    <s v="Represent SCCCM data requirements where decisions affecting them are taken."/>
    <s v="Varies by forum."/>
    <s v="Periodic"/>
    <s v="Inter-sector forums convened by RCP"/>
    <s v="Other sectors and RCP"/>
    <s v="Meeting or workshop"/>
    <s v="Sector IMO"/>
    <s v="Established"/>
  </r>
  <r>
    <s v="G8"/>
    <x v="6"/>
    <s v="Joint guidance notes with other sectors"/>
    <s v="All"/>
    <s v="Agreed guidance notes, such as the volunteer guidance note with LSDS"/>
    <s v="Settle recurring cross-sector questions once, in writing, instead of case by case."/>
    <s v="The agreed position and how partners should apply it."/>
    <s v="Periodic"/>
    <s v="Sector team with the counterpart sector"/>
    <s v="Partners, Working Groups"/>
    <s v="Guidance note circulated and published"/>
    <s v="Sector IMO; Sector Coordinator"/>
    <s v="In develop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20E94-E60F-4254-B924-940CB6D510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showAll="0"/>
    <pivotField axis="axisRow" dataFiel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Pill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AAE8C-101B-48AB-BBA9-E626064FDCC4}">
  <dimension ref="A3:B11"/>
  <sheetViews>
    <sheetView workbookViewId="0">
      <selection activeCell="A3" sqref="A3"/>
    </sheetView>
  </sheetViews>
  <sheetFormatPr defaultRowHeight="14.4" x14ac:dyDescent="0.3"/>
  <cols>
    <col min="1" max="1" width="36.88671875" bestFit="1" customWidth="1"/>
    <col min="2" max="2" width="13.6640625" bestFit="1" customWidth="1"/>
  </cols>
  <sheetData>
    <row r="3" spans="1:2" x14ac:dyDescent="0.3">
      <c r="A3" s="33" t="s">
        <v>628</v>
      </c>
      <c r="B3" t="s">
        <v>630</v>
      </c>
    </row>
    <row r="4" spans="1:2" x14ac:dyDescent="0.3">
      <c r="A4" s="34" t="s">
        <v>16</v>
      </c>
      <c r="B4">
        <v>8</v>
      </c>
    </row>
    <row r="5" spans="1:2" x14ac:dyDescent="0.3">
      <c r="A5" s="34" t="s">
        <v>99</v>
      </c>
      <c r="B5">
        <v>16</v>
      </c>
    </row>
    <row r="6" spans="1:2" x14ac:dyDescent="0.3">
      <c r="A6" s="34" t="s">
        <v>236</v>
      </c>
      <c r="B6">
        <v>7</v>
      </c>
    </row>
    <row r="7" spans="1:2" x14ac:dyDescent="0.3">
      <c r="A7" s="34" t="s">
        <v>304</v>
      </c>
      <c r="B7">
        <v>5</v>
      </c>
    </row>
    <row r="8" spans="1:2" x14ac:dyDescent="0.3">
      <c r="A8" s="34" t="s">
        <v>348</v>
      </c>
      <c r="B8">
        <v>8</v>
      </c>
    </row>
    <row r="9" spans="1:2" x14ac:dyDescent="0.3">
      <c r="A9" s="34" t="s">
        <v>415</v>
      </c>
      <c r="B9">
        <v>5</v>
      </c>
    </row>
    <row r="10" spans="1:2" x14ac:dyDescent="0.3">
      <c r="A10" s="34" t="s">
        <v>458</v>
      </c>
      <c r="B10">
        <v>8</v>
      </c>
    </row>
    <row r="11" spans="1:2" x14ac:dyDescent="0.3">
      <c r="A11" s="34" t="s">
        <v>629</v>
      </c>
      <c r="B11">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3"/>
  <sheetViews>
    <sheetView showGridLines="0" tabSelected="1" zoomScaleNormal="100" workbookViewId="0">
      <pane xSplit="3" ySplit="4" topLeftCell="D40" activePane="bottomRight" state="frozen"/>
      <selection pane="topRight" activeCell="D1" sqref="D1"/>
      <selection pane="bottomLeft" activeCell="A5" sqref="A5"/>
      <selection pane="bottomRight" activeCell="B41" sqref="B41:B48"/>
    </sheetView>
  </sheetViews>
  <sheetFormatPr defaultColWidth="8.6640625" defaultRowHeight="14.4" x14ac:dyDescent="0.3"/>
  <cols>
    <col min="1" max="1" width="3.44140625" customWidth="1"/>
    <col min="2" max="2" width="16" customWidth="1"/>
    <col min="3" max="3" width="26" customWidth="1"/>
    <col min="4" max="4" width="7" customWidth="1"/>
    <col min="5" max="5" width="26" customWidth="1"/>
    <col min="6" max="6" width="40" customWidth="1"/>
    <col min="7" max="7" width="44" customWidth="1"/>
    <col min="8" max="8" width="9.6640625" customWidth="1"/>
    <col min="9" max="9" width="24" customWidth="1"/>
    <col min="10" max="10" width="19" customWidth="1"/>
    <col min="11" max="11" width="22" customWidth="1"/>
    <col min="12" max="12" width="18" customWidth="1"/>
    <col min="13" max="13" width="16" customWidth="1"/>
  </cols>
  <sheetData>
    <row r="1" spans="1:13" ht="21.75" customHeight="1" x14ac:dyDescent="0.3">
      <c r="A1" s="41" t="s">
        <v>0</v>
      </c>
      <c r="B1" s="41"/>
      <c r="C1" s="41"/>
      <c r="D1" s="41"/>
      <c r="E1" s="41"/>
      <c r="F1" s="41"/>
      <c r="G1" s="41"/>
      <c r="H1" s="41"/>
      <c r="I1" s="41"/>
      <c r="J1" s="41"/>
      <c r="K1" s="41"/>
      <c r="L1" s="41"/>
      <c r="M1" s="41"/>
    </row>
    <row r="2" spans="1:13" ht="25.5" customHeight="1" x14ac:dyDescent="0.3">
      <c r="A2" s="42" t="s">
        <v>1</v>
      </c>
      <c r="B2" s="42"/>
      <c r="C2" s="42"/>
      <c r="D2" s="42"/>
      <c r="E2" s="42"/>
      <c r="F2" s="42"/>
      <c r="G2" s="42"/>
      <c r="H2" s="42"/>
      <c r="I2" s="42"/>
      <c r="J2" s="42"/>
      <c r="K2" s="42"/>
      <c r="L2" s="42"/>
      <c r="M2" s="42"/>
    </row>
    <row r="4" spans="1:13" ht="30" customHeight="1" x14ac:dyDescent="0.3">
      <c r="A4" s="2" t="s">
        <v>2</v>
      </c>
      <c r="B4" s="2" t="s">
        <v>3</v>
      </c>
      <c r="C4" s="2" t="s">
        <v>4</v>
      </c>
      <c r="D4" s="2" t="s">
        <v>5</v>
      </c>
      <c r="E4" s="2" t="s">
        <v>6</v>
      </c>
      <c r="F4" s="2" t="s">
        <v>7</v>
      </c>
      <c r="G4" s="2" t="s">
        <v>8</v>
      </c>
      <c r="H4" s="2" t="s">
        <v>9</v>
      </c>
      <c r="I4" s="2" t="s">
        <v>10</v>
      </c>
      <c r="J4" s="2" t="s">
        <v>11</v>
      </c>
      <c r="K4" s="2" t="s">
        <v>12</v>
      </c>
      <c r="L4" s="2" t="s">
        <v>13</v>
      </c>
      <c r="M4" s="2" t="s">
        <v>14</v>
      </c>
    </row>
    <row r="5" spans="1:13" ht="57.75" customHeight="1" x14ac:dyDescent="0.3">
      <c r="A5" s="3" t="s">
        <v>15</v>
      </c>
      <c r="B5" s="4" t="s">
        <v>16</v>
      </c>
      <c r="C5" s="5" t="s">
        <v>17</v>
      </c>
      <c r="D5" s="4" t="s">
        <v>18</v>
      </c>
      <c r="E5" s="4" t="s">
        <v>19</v>
      </c>
      <c r="F5" s="4" t="s">
        <v>20</v>
      </c>
      <c r="G5" s="4" t="s">
        <v>21</v>
      </c>
      <c r="H5" s="6" t="s">
        <v>22</v>
      </c>
      <c r="I5" s="4" t="s">
        <v>23</v>
      </c>
      <c r="J5" s="4" t="s">
        <v>24</v>
      </c>
      <c r="K5" s="4" t="s">
        <v>25</v>
      </c>
      <c r="L5" s="4" t="s">
        <v>26</v>
      </c>
      <c r="M5" s="4" t="s">
        <v>27</v>
      </c>
    </row>
    <row r="6" spans="1:13" ht="57.75" customHeight="1" x14ac:dyDescent="0.3">
      <c r="A6" s="7" t="s">
        <v>28</v>
      </c>
      <c r="B6" s="8" t="s">
        <v>16</v>
      </c>
      <c r="C6" s="9" t="s">
        <v>29</v>
      </c>
      <c r="D6" s="8" t="s">
        <v>30</v>
      </c>
      <c r="E6" s="8" t="s">
        <v>31</v>
      </c>
      <c r="F6" s="8" t="s">
        <v>32</v>
      </c>
      <c r="G6" s="8" t="s">
        <v>33</v>
      </c>
      <c r="H6" s="10" t="s">
        <v>34</v>
      </c>
      <c r="I6" s="8" t="s">
        <v>35</v>
      </c>
      <c r="J6" s="8" t="s">
        <v>36</v>
      </c>
      <c r="K6" s="8" t="s">
        <v>37</v>
      </c>
      <c r="L6" s="8" t="s">
        <v>38</v>
      </c>
      <c r="M6" s="8" t="s">
        <v>27</v>
      </c>
    </row>
    <row r="7" spans="1:13" ht="57.75" customHeight="1" x14ac:dyDescent="0.3">
      <c r="A7" s="3" t="s">
        <v>39</v>
      </c>
      <c r="B7" s="4" t="s">
        <v>16</v>
      </c>
      <c r="C7" s="5" t="s">
        <v>40</v>
      </c>
      <c r="D7" s="4" t="s">
        <v>41</v>
      </c>
      <c r="E7" s="4" t="s">
        <v>42</v>
      </c>
      <c r="F7" s="4" t="s">
        <v>43</v>
      </c>
      <c r="G7" s="4" t="s">
        <v>44</v>
      </c>
      <c r="H7" s="6" t="s">
        <v>45</v>
      </c>
      <c r="I7" s="4" t="s">
        <v>46</v>
      </c>
      <c r="J7" s="4" t="s">
        <v>47</v>
      </c>
      <c r="K7" s="4" t="s">
        <v>48</v>
      </c>
      <c r="L7" s="4" t="s">
        <v>49</v>
      </c>
      <c r="M7" s="4" t="s">
        <v>50</v>
      </c>
    </row>
    <row r="8" spans="1:13" ht="57.75" customHeight="1" x14ac:dyDescent="0.3">
      <c r="A8" s="7" t="s">
        <v>51</v>
      </c>
      <c r="B8" s="8" t="s">
        <v>16</v>
      </c>
      <c r="C8" s="9" t="s">
        <v>52</v>
      </c>
      <c r="D8" s="8" t="s">
        <v>53</v>
      </c>
      <c r="E8" s="8" t="s">
        <v>54</v>
      </c>
      <c r="F8" s="8" t="s">
        <v>55</v>
      </c>
      <c r="G8" s="8" t="s">
        <v>56</v>
      </c>
      <c r="H8" s="10" t="s">
        <v>34</v>
      </c>
      <c r="I8" s="8" t="s">
        <v>57</v>
      </c>
      <c r="J8" s="8" t="s">
        <v>58</v>
      </c>
      <c r="K8" s="8" t="s">
        <v>59</v>
      </c>
      <c r="L8" s="8" t="s">
        <v>60</v>
      </c>
      <c r="M8" s="8" t="s">
        <v>61</v>
      </c>
    </row>
    <row r="9" spans="1:13" ht="57.75" customHeight="1" x14ac:dyDescent="0.3">
      <c r="A9" s="3" t="s">
        <v>62</v>
      </c>
      <c r="B9" s="4" t="s">
        <v>16</v>
      </c>
      <c r="C9" s="5" t="s">
        <v>63</v>
      </c>
      <c r="D9" s="4" t="s">
        <v>64</v>
      </c>
      <c r="E9" s="4" t="s">
        <v>65</v>
      </c>
      <c r="F9" s="4" t="s">
        <v>66</v>
      </c>
      <c r="G9" s="4" t="s">
        <v>67</v>
      </c>
      <c r="H9" s="6" t="s">
        <v>68</v>
      </c>
      <c r="I9" s="4" t="s">
        <v>69</v>
      </c>
      <c r="J9" s="4" t="s">
        <v>70</v>
      </c>
      <c r="K9" s="4" t="s">
        <v>71</v>
      </c>
      <c r="L9" s="4" t="s">
        <v>72</v>
      </c>
      <c r="M9" s="4" t="s">
        <v>27</v>
      </c>
    </row>
    <row r="10" spans="1:13" ht="57.75" customHeight="1" x14ac:dyDescent="0.3">
      <c r="A10" s="7" t="s">
        <v>73</v>
      </c>
      <c r="B10" s="8" t="s">
        <v>16</v>
      </c>
      <c r="C10" s="9" t="s">
        <v>74</v>
      </c>
      <c r="D10" s="8" t="s">
        <v>18</v>
      </c>
      <c r="E10" s="8" t="s">
        <v>75</v>
      </c>
      <c r="F10" s="8" t="s">
        <v>76</v>
      </c>
      <c r="G10" s="8" t="s">
        <v>77</v>
      </c>
      <c r="H10" s="10" t="s">
        <v>45</v>
      </c>
      <c r="I10" s="8" t="s">
        <v>78</v>
      </c>
      <c r="J10" s="8" t="s">
        <v>79</v>
      </c>
      <c r="K10" s="8" t="s">
        <v>80</v>
      </c>
      <c r="L10" s="8" t="s">
        <v>81</v>
      </c>
      <c r="M10" s="8" t="s">
        <v>50</v>
      </c>
    </row>
    <row r="11" spans="1:13" ht="57.75" customHeight="1" x14ac:dyDescent="0.3">
      <c r="A11" s="3" t="s">
        <v>82</v>
      </c>
      <c r="B11" s="4" t="s">
        <v>16</v>
      </c>
      <c r="C11" s="5" t="s">
        <v>83</v>
      </c>
      <c r="D11" s="4" t="s">
        <v>53</v>
      </c>
      <c r="E11" s="4" t="s">
        <v>84</v>
      </c>
      <c r="F11" s="4" t="s">
        <v>85</v>
      </c>
      <c r="G11" s="4" t="s">
        <v>86</v>
      </c>
      <c r="H11" s="6" t="s">
        <v>34</v>
      </c>
      <c r="I11" s="4" t="s">
        <v>87</v>
      </c>
      <c r="J11" s="4" t="s">
        <v>58</v>
      </c>
      <c r="K11" s="4" t="s">
        <v>88</v>
      </c>
      <c r="L11" s="4" t="s">
        <v>60</v>
      </c>
      <c r="M11" s="4" t="s">
        <v>27</v>
      </c>
    </row>
    <row r="12" spans="1:13" ht="57.75" customHeight="1" x14ac:dyDescent="0.3">
      <c r="A12" s="7" t="s">
        <v>89</v>
      </c>
      <c r="B12" s="8" t="s">
        <v>16</v>
      </c>
      <c r="C12" s="9" t="s">
        <v>90</v>
      </c>
      <c r="D12" s="8" t="s">
        <v>64</v>
      </c>
      <c r="E12" s="8" t="s">
        <v>91</v>
      </c>
      <c r="F12" s="8" t="s">
        <v>92</v>
      </c>
      <c r="G12" s="8" t="s">
        <v>93</v>
      </c>
      <c r="H12" s="10" t="s">
        <v>94</v>
      </c>
      <c r="I12" s="8" t="s">
        <v>95</v>
      </c>
      <c r="J12" s="8" t="s">
        <v>96</v>
      </c>
      <c r="K12" s="8" t="s">
        <v>97</v>
      </c>
      <c r="L12" s="8" t="s">
        <v>60</v>
      </c>
      <c r="M12" s="8" t="s">
        <v>27</v>
      </c>
    </row>
    <row r="13" spans="1:13" ht="57.75" customHeight="1" x14ac:dyDescent="0.3">
      <c r="A13" s="3" t="s">
        <v>98</v>
      </c>
      <c r="B13" s="4" t="s">
        <v>99</v>
      </c>
      <c r="C13" s="5" t="s">
        <v>100</v>
      </c>
      <c r="D13" s="4" t="s">
        <v>64</v>
      </c>
      <c r="E13" s="4" t="s">
        <v>101</v>
      </c>
      <c r="F13" s="4" t="s">
        <v>102</v>
      </c>
      <c r="G13" s="4" t="s">
        <v>103</v>
      </c>
      <c r="H13" s="6" t="s">
        <v>34</v>
      </c>
      <c r="I13" s="4" t="s">
        <v>104</v>
      </c>
      <c r="J13" s="4" t="s">
        <v>105</v>
      </c>
      <c r="K13" s="4" t="s">
        <v>106</v>
      </c>
      <c r="L13" s="4" t="s">
        <v>49</v>
      </c>
      <c r="M13" s="4" t="s">
        <v>27</v>
      </c>
    </row>
    <row r="14" spans="1:13" ht="57.75" customHeight="1" x14ac:dyDescent="0.3">
      <c r="A14" s="7" t="s">
        <v>107</v>
      </c>
      <c r="B14" s="8" t="s">
        <v>99</v>
      </c>
      <c r="C14" s="9" t="s">
        <v>108</v>
      </c>
      <c r="D14" s="8" t="s">
        <v>109</v>
      </c>
      <c r="E14" s="8" t="s">
        <v>110</v>
      </c>
      <c r="F14" s="8" t="s">
        <v>111</v>
      </c>
      <c r="G14" s="8" t="s">
        <v>112</v>
      </c>
      <c r="H14" s="10" t="s">
        <v>34</v>
      </c>
      <c r="I14" s="8" t="s">
        <v>113</v>
      </c>
      <c r="J14" s="8" t="s">
        <v>114</v>
      </c>
      <c r="K14" s="8" t="s">
        <v>59</v>
      </c>
      <c r="L14" s="8" t="s">
        <v>49</v>
      </c>
      <c r="M14" s="8" t="s">
        <v>27</v>
      </c>
    </row>
    <row r="15" spans="1:13" ht="57.75" customHeight="1" x14ac:dyDescent="0.3">
      <c r="A15" s="3" t="s">
        <v>115</v>
      </c>
      <c r="B15" s="4" t="s">
        <v>99</v>
      </c>
      <c r="C15" s="5" t="s">
        <v>116</v>
      </c>
      <c r="D15" s="4" t="s">
        <v>30</v>
      </c>
      <c r="E15" s="4" t="s">
        <v>117</v>
      </c>
      <c r="F15" s="4" t="s">
        <v>118</v>
      </c>
      <c r="G15" s="4" t="s">
        <v>119</v>
      </c>
      <c r="H15" s="6" t="s">
        <v>34</v>
      </c>
      <c r="I15" s="4" t="s">
        <v>120</v>
      </c>
      <c r="J15" s="4" t="s">
        <v>121</v>
      </c>
      <c r="K15" s="4" t="s">
        <v>59</v>
      </c>
      <c r="L15" s="4" t="s">
        <v>49</v>
      </c>
      <c r="M15" s="4" t="s">
        <v>27</v>
      </c>
    </row>
    <row r="16" spans="1:13" ht="57.75" customHeight="1" x14ac:dyDescent="0.3">
      <c r="A16" s="7" t="s">
        <v>122</v>
      </c>
      <c r="B16" s="8" t="s">
        <v>99</v>
      </c>
      <c r="C16" s="9" t="s">
        <v>123</v>
      </c>
      <c r="D16" s="8" t="s">
        <v>124</v>
      </c>
      <c r="E16" s="8" t="s">
        <v>125</v>
      </c>
      <c r="F16" s="8" t="s">
        <v>126</v>
      </c>
      <c r="G16" s="8" t="s">
        <v>127</v>
      </c>
      <c r="H16" s="10" t="s">
        <v>34</v>
      </c>
      <c r="I16" s="8" t="s">
        <v>128</v>
      </c>
      <c r="J16" s="8" t="s">
        <v>129</v>
      </c>
      <c r="K16" s="8" t="s">
        <v>130</v>
      </c>
      <c r="L16" s="8" t="s">
        <v>49</v>
      </c>
      <c r="M16" s="8" t="s">
        <v>27</v>
      </c>
    </row>
    <row r="17" spans="1:13" ht="57.75" customHeight="1" x14ac:dyDescent="0.3">
      <c r="A17" s="3" t="s">
        <v>131</v>
      </c>
      <c r="B17" s="4" t="s">
        <v>99</v>
      </c>
      <c r="C17" s="5" t="s">
        <v>132</v>
      </c>
      <c r="D17" s="4" t="s">
        <v>124</v>
      </c>
      <c r="E17" s="4" t="s">
        <v>133</v>
      </c>
      <c r="F17" s="4" t="s">
        <v>134</v>
      </c>
      <c r="G17" s="4" t="s">
        <v>135</v>
      </c>
      <c r="H17" s="6" t="s">
        <v>34</v>
      </c>
      <c r="I17" s="4" t="s">
        <v>136</v>
      </c>
      <c r="J17" s="4" t="s">
        <v>137</v>
      </c>
      <c r="K17" s="4" t="s">
        <v>138</v>
      </c>
      <c r="L17" s="4" t="s">
        <v>49</v>
      </c>
      <c r="M17" s="4" t="s">
        <v>139</v>
      </c>
    </row>
    <row r="18" spans="1:13" ht="57.75" customHeight="1" x14ac:dyDescent="0.3">
      <c r="A18" s="7" t="s">
        <v>140</v>
      </c>
      <c r="B18" s="8" t="s">
        <v>99</v>
      </c>
      <c r="C18" s="9" t="s">
        <v>141</v>
      </c>
      <c r="D18" s="8" t="s">
        <v>41</v>
      </c>
      <c r="E18" s="8" t="s">
        <v>142</v>
      </c>
      <c r="F18" s="8" t="s">
        <v>143</v>
      </c>
      <c r="G18" s="8" t="s">
        <v>144</v>
      </c>
      <c r="H18" s="10" t="s">
        <v>34</v>
      </c>
      <c r="I18" s="8" t="s">
        <v>145</v>
      </c>
      <c r="J18" s="8" t="s">
        <v>146</v>
      </c>
      <c r="K18" s="8" t="s">
        <v>147</v>
      </c>
      <c r="L18" s="8" t="s">
        <v>148</v>
      </c>
      <c r="M18" s="11" t="s">
        <v>149</v>
      </c>
    </row>
    <row r="19" spans="1:13" ht="57.75" customHeight="1" x14ac:dyDescent="0.3">
      <c r="A19" s="3" t="s">
        <v>150</v>
      </c>
      <c r="B19" s="4" t="s">
        <v>99</v>
      </c>
      <c r="C19" s="5" t="s">
        <v>151</v>
      </c>
      <c r="D19" s="4" t="s">
        <v>41</v>
      </c>
      <c r="E19" s="4" t="s">
        <v>152</v>
      </c>
      <c r="F19" s="4" t="s">
        <v>153</v>
      </c>
      <c r="G19" s="4" t="s">
        <v>154</v>
      </c>
      <c r="H19" s="6" t="s">
        <v>34</v>
      </c>
      <c r="I19" s="4" t="s">
        <v>155</v>
      </c>
      <c r="J19" s="4" t="s">
        <v>156</v>
      </c>
      <c r="K19" s="4" t="s">
        <v>157</v>
      </c>
      <c r="L19" s="4" t="s">
        <v>49</v>
      </c>
      <c r="M19" s="12" t="s">
        <v>158</v>
      </c>
    </row>
    <row r="20" spans="1:13" ht="57.75" customHeight="1" x14ac:dyDescent="0.3">
      <c r="A20" s="7" t="s">
        <v>159</v>
      </c>
      <c r="B20" s="8" t="s">
        <v>99</v>
      </c>
      <c r="C20" s="9" t="s">
        <v>160</v>
      </c>
      <c r="D20" s="8" t="s">
        <v>64</v>
      </c>
      <c r="E20" s="8" t="s">
        <v>161</v>
      </c>
      <c r="F20" s="8" t="s">
        <v>162</v>
      </c>
      <c r="G20" s="8" t="s">
        <v>163</v>
      </c>
      <c r="H20" s="10" t="s">
        <v>34</v>
      </c>
      <c r="I20" s="8" t="s">
        <v>164</v>
      </c>
      <c r="J20" s="8" t="s">
        <v>165</v>
      </c>
      <c r="K20" s="8" t="s">
        <v>166</v>
      </c>
      <c r="L20" s="8" t="s">
        <v>49</v>
      </c>
      <c r="M20" s="8" t="s">
        <v>27</v>
      </c>
    </row>
    <row r="21" spans="1:13" ht="57.75" customHeight="1" x14ac:dyDescent="0.3">
      <c r="A21" s="3" t="s">
        <v>167</v>
      </c>
      <c r="B21" s="4" t="s">
        <v>99</v>
      </c>
      <c r="C21" s="5" t="s">
        <v>168</v>
      </c>
      <c r="D21" s="4" t="s">
        <v>64</v>
      </c>
      <c r="E21" s="4" t="s">
        <v>169</v>
      </c>
      <c r="F21" s="4" t="s">
        <v>170</v>
      </c>
      <c r="G21" s="4" t="s">
        <v>171</v>
      </c>
      <c r="H21" s="6" t="s">
        <v>34</v>
      </c>
      <c r="I21" s="4" t="s">
        <v>172</v>
      </c>
      <c r="J21" s="4" t="s">
        <v>173</v>
      </c>
      <c r="K21" s="4" t="s">
        <v>174</v>
      </c>
      <c r="L21" s="4" t="s">
        <v>49</v>
      </c>
      <c r="M21" s="4" t="s">
        <v>175</v>
      </c>
    </row>
    <row r="22" spans="1:13" ht="57.75" customHeight="1" x14ac:dyDescent="0.3">
      <c r="A22" s="7" t="s">
        <v>176</v>
      </c>
      <c r="B22" s="8" t="s">
        <v>99</v>
      </c>
      <c r="C22" s="9" t="s">
        <v>177</v>
      </c>
      <c r="D22" s="8" t="s">
        <v>178</v>
      </c>
      <c r="E22" s="8" t="s">
        <v>179</v>
      </c>
      <c r="F22" s="8" t="s">
        <v>180</v>
      </c>
      <c r="G22" s="8" t="s">
        <v>181</v>
      </c>
      <c r="H22" s="10" t="s">
        <v>34</v>
      </c>
      <c r="I22" s="8" t="s">
        <v>182</v>
      </c>
      <c r="J22" s="8" t="s">
        <v>183</v>
      </c>
      <c r="K22" s="8" t="s">
        <v>106</v>
      </c>
      <c r="L22" s="8" t="s">
        <v>184</v>
      </c>
      <c r="M22" s="8" t="s">
        <v>27</v>
      </c>
    </row>
    <row r="23" spans="1:13" ht="57.75" customHeight="1" x14ac:dyDescent="0.3">
      <c r="A23" s="3" t="s">
        <v>185</v>
      </c>
      <c r="B23" s="4" t="s">
        <v>99</v>
      </c>
      <c r="C23" s="5" t="s">
        <v>186</v>
      </c>
      <c r="D23" s="4" t="s">
        <v>187</v>
      </c>
      <c r="E23" s="4" t="s">
        <v>188</v>
      </c>
      <c r="F23" s="4" t="s">
        <v>189</v>
      </c>
      <c r="G23" s="4" t="s">
        <v>190</v>
      </c>
      <c r="H23" s="6" t="s">
        <v>34</v>
      </c>
      <c r="I23" s="4" t="s">
        <v>191</v>
      </c>
      <c r="J23" s="4" t="s">
        <v>192</v>
      </c>
      <c r="K23" s="4" t="s">
        <v>106</v>
      </c>
      <c r="L23" s="4" t="s">
        <v>193</v>
      </c>
      <c r="M23" s="4" t="s">
        <v>27</v>
      </c>
    </row>
    <row r="24" spans="1:13" ht="57.75" customHeight="1" x14ac:dyDescent="0.3">
      <c r="A24" s="7" t="s">
        <v>194</v>
      </c>
      <c r="B24" s="8" t="s">
        <v>99</v>
      </c>
      <c r="C24" s="9" t="s">
        <v>195</v>
      </c>
      <c r="D24" s="8" t="s">
        <v>64</v>
      </c>
      <c r="E24" s="8" t="s">
        <v>196</v>
      </c>
      <c r="F24" s="8" t="s">
        <v>197</v>
      </c>
      <c r="G24" s="8" t="s">
        <v>198</v>
      </c>
      <c r="H24" s="10" t="s">
        <v>34</v>
      </c>
      <c r="I24" s="8" t="s">
        <v>199</v>
      </c>
      <c r="J24" s="8" t="s">
        <v>200</v>
      </c>
      <c r="K24" s="8" t="s">
        <v>201</v>
      </c>
      <c r="L24" s="8" t="s">
        <v>49</v>
      </c>
      <c r="M24" s="8" t="s">
        <v>27</v>
      </c>
    </row>
    <row r="25" spans="1:13" ht="57.75" customHeight="1" x14ac:dyDescent="0.3">
      <c r="A25" s="3" t="s">
        <v>202</v>
      </c>
      <c r="B25" s="4" t="s">
        <v>99</v>
      </c>
      <c r="C25" s="5" t="s">
        <v>203</v>
      </c>
      <c r="D25" s="4" t="s">
        <v>30</v>
      </c>
      <c r="E25" s="4" t="s">
        <v>204</v>
      </c>
      <c r="F25" s="4" t="s">
        <v>205</v>
      </c>
      <c r="G25" s="4" t="s">
        <v>206</v>
      </c>
      <c r="H25" s="6" t="s">
        <v>34</v>
      </c>
      <c r="I25" s="4" t="s">
        <v>207</v>
      </c>
      <c r="J25" s="4" t="s">
        <v>208</v>
      </c>
      <c r="K25" s="4" t="s">
        <v>201</v>
      </c>
      <c r="L25" s="4" t="s">
        <v>49</v>
      </c>
      <c r="M25" s="12" t="s">
        <v>209</v>
      </c>
    </row>
    <row r="26" spans="1:13" ht="57.75" customHeight="1" x14ac:dyDescent="0.3">
      <c r="A26" s="7" t="s">
        <v>210</v>
      </c>
      <c r="B26" s="8" t="s">
        <v>99</v>
      </c>
      <c r="C26" s="9" t="s">
        <v>211</v>
      </c>
      <c r="D26" s="8" t="s">
        <v>212</v>
      </c>
      <c r="E26" s="8" t="s">
        <v>213</v>
      </c>
      <c r="F26" s="8" t="s">
        <v>214</v>
      </c>
      <c r="G26" s="8" t="s">
        <v>215</v>
      </c>
      <c r="H26" s="10" t="s">
        <v>34</v>
      </c>
      <c r="I26" s="8" t="s">
        <v>216</v>
      </c>
      <c r="J26" s="8" t="s">
        <v>217</v>
      </c>
      <c r="K26" s="8" t="s">
        <v>218</v>
      </c>
      <c r="L26" s="8" t="s">
        <v>60</v>
      </c>
      <c r="M26" s="8" t="s">
        <v>27</v>
      </c>
    </row>
    <row r="27" spans="1:13" ht="57.75" customHeight="1" x14ac:dyDescent="0.3">
      <c r="A27" s="3" t="s">
        <v>219</v>
      </c>
      <c r="B27" s="4" t="s">
        <v>99</v>
      </c>
      <c r="C27" s="5" t="s">
        <v>220</v>
      </c>
      <c r="D27" s="4" t="s">
        <v>124</v>
      </c>
      <c r="E27" s="4" t="s">
        <v>221</v>
      </c>
      <c r="F27" s="4" t="s">
        <v>222</v>
      </c>
      <c r="G27" s="4" t="s">
        <v>223</v>
      </c>
      <c r="H27" s="6" t="s">
        <v>34</v>
      </c>
      <c r="I27" s="4" t="s">
        <v>224</v>
      </c>
      <c r="J27" s="4" t="s">
        <v>129</v>
      </c>
      <c r="K27" s="4" t="s">
        <v>218</v>
      </c>
      <c r="L27" s="4" t="s">
        <v>225</v>
      </c>
      <c r="M27" s="4" t="s">
        <v>27</v>
      </c>
    </row>
    <row r="28" spans="1:13" ht="57.75" customHeight="1" x14ac:dyDescent="0.3">
      <c r="A28" s="7" t="s">
        <v>226</v>
      </c>
      <c r="B28" s="8" t="s">
        <v>99</v>
      </c>
      <c r="C28" s="9" t="s">
        <v>227</v>
      </c>
      <c r="D28" s="8" t="s">
        <v>18</v>
      </c>
      <c r="E28" s="8" t="s">
        <v>228</v>
      </c>
      <c r="F28" s="8" t="s">
        <v>229</v>
      </c>
      <c r="G28" s="8" t="s">
        <v>230</v>
      </c>
      <c r="H28" s="10" t="s">
        <v>22</v>
      </c>
      <c r="I28" s="8" t="s">
        <v>231</v>
      </c>
      <c r="J28" s="8" t="s">
        <v>232</v>
      </c>
      <c r="K28" s="8" t="s">
        <v>233</v>
      </c>
      <c r="L28" s="8" t="s">
        <v>234</v>
      </c>
      <c r="M28" s="8" t="s">
        <v>27</v>
      </c>
    </row>
    <row r="29" spans="1:13" ht="57.75" customHeight="1" x14ac:dyDescent="0.3">
      <c r="A29" s="3" t="s">
        <v>235</v>
      </c>
      <c r="B29" s="47" t="s">
        <v>236</v>
      </c>
      <c r="C29" s="5" t="s">
        <v>237</v>
      </c>
      <c r="D29" s="4" t="s">
        <v>64</v>
      </c>
      <c r="E29" s="4" t="s">
        <v>238</v>
      </c>
      <c r="F29" s="4" t="s">
        <v>239</v>
      </c>
      <c r="G29" s="4" t="s">
        <v>240</v>
      </c>
      <c r="H29" s="6" t="s">
        <v>34</v>
      </c>
      <c r="I29" s="4" t="s">
        <v>241</v>
      </c>
      <c r="J29" s="4" t="s">
        <v>242</v>
      </c>
      <c r="K29" s="4" t="s">
        <v>243</v>
      </c>
      <c r="L29" s="4" t="s">
        <v>49</v>
      </c>
      <c r="M29" s="4" t="s">
        <v>27</v>
      </c>
    </row>
    <row r="30" spans="1:13" ht="57.75" customHeight="1" x14ac:dyDescent="0.3">
      <c r="A30" s="7" t="s">
        <v>244</v>
      </c>
      <c r="B30" s="48" t="s">
        <v>236</v>
      </c>
      <c r="C30" s="9" t="s">
        <v>245</v>
      </c>
      <c r="D30" s="8" t="s">
        <v>246</v>
      </c>
      <c r="E30" s="8" t="s">
        <v>247</v>
      </c>
      <c r="F30" s="8" t="s">
        <v>248</v>
      </c>
      <c r="G30" s="8" t="s">
        <v>249</v>
      </c>
      <c r="H30" s="10" t="s">
        <v>250</v>
      </c>
      <c r="I30" s="8" t="s">
        <v>251</v>
      </c>
      <c r="J30" s="8" t="s">
        <v>252</v>
      </c>
      <c r="K30" s="8" t="s">
        <v>253</v>
      </c>
      <c r="L30" s="8" t="s">
        <v>49</v>
      </c>
      <c r="M30" s="8" t="s">
        <v>27</v>
      </c>
    </row>
    <row r="31" spans="1:13" ht="57.75" customHeight="1" x14ac:dyDescent="0.3">
      <c r="A31" s="3" t="s">
        <v>254</v>
      </c>
      <c r="B31" s="47" t="s">
        <v>236</v>
      </c>
      <c r="C31" s="5" t="s">
        <v>255</v>
      </c>
      <c r="D31" s="4" t="s">
        <v>64</v>
      </c>
      <c r="E31" s="4" t="s">
        <v>256</v>
      </c>
      <c r="F31" s="4" t="s">
        <v>257</v>
      </c>
      <c r="G31" s="4" t="s">
        <v>258</v>
      </c>
      <c r="H31" s="6" t="s">
        <v>259</v>
      </c>
      <c r="I31" s="4" t="s">
        <v>260</v>
      </c>
      <c r="J31" s="4" t="s">
        <v>261</v>
      </c>
      <c r="K31" s="4" t="s">
        <v>262</v>
      </c>
      <c r="L31" s="4" t="s">
        <v>49</v>
      </c>
      <c r="M31" s="4" t="s">
        <v>27</v>
      </c>
    </row>
    <row r="32" spans="1:13" ht="57.75" customHeight="1" x14ac:dyDescent="0.3">
      <c r="A32" s="7" t="s">
        <v>263</v>
      </c>
      <c r="B32" s="48" t="s">
        <v>236</v>
      </c>
      <c r="C32" s="9" t="s">
        <v>264</v>
      </c>
      <c r="D32" s="8" t="s">
        <v>265</v>
      </c>
      <c r="E32" s="8" t="s">
        <v>266</v>
      </c>
      <c r="F32" s="8" t="s">
        <v>267</v>
      </c>
      <c r="G32" s="8" t="s">
        <v>268</v>
      </c>
      <c r="H32" s="10" t="s">
        <v>68</v>
      </c>
      <c r="I32" s="8" t="s">
        <v>269</v>
      </c>
      <c r="J32" s="8" t="s">
        <v>270</v>
      </c>
      <c r="K32" s="8" t="s">
        <v>271</v>
      </c>
      <c r="L32" s="8" t="s">
        <v>272</v>
      </c>
      <c r="M32" s="8" t="s">
        <v>273</v>
      </c>
    </row>
    <row r="33" spans="1:13" ht="57.75" customHeight="1" x14ac:dyDescent="0.3">
      <c r="A33" s="3" t="s">
        <v>274</v>
      </c>
      <c r="B33" s="47" t="s">
        <v>236</v>
      </c>
      <c r="C33" s="5" t="s">
        <v>275</v>
      </c>
      <c r="D33" s="4" t="s">
        <v>64</v>
      </c>
      <c r="E33" s="4" t="s">
        <v>276</v>
      </c>
      <c r="F33" s="4" t="s">
        <v>277</v>
      </c>
      <c r="G33" s="4" t="s">
        <v>278</v>
      </c>
      <c r="H33" s="6" t="s">
        <v>279</v>
      </c>
      <c r="I33" s="4" t="s">
        <v>280</v>
      </c>
      <c r="J33" s="4" t="s">
        <v>281</v>
      </c>
      <c r="K33" s="4" t="s">
        <v>282</v>
      </c>
      <c r="L33" s="4" t="s">
        <v>49</v>
      </c>
      <c r="M33" s="4" t="s">
        <v>27</v>
      </c>
    </row>
    <row r="34" spans="1:13" ht="57.75" customHeight="1" x14ac:dyDescent="0.3">
      <c r="A34" s="7" t="s">
        <v>283</v>
      </c>
      <c r="B34" s="48" t="s">
        <v>236</v>
      </c>
      <c r="C34" s="9" t="s">
        <v>284</v>
      </c>
      <c r="D34" s="8" t="s">
        <v>285</v>
      </c>
      <c r="E34" s="8" t="s">
        <v>286</v>
      </c>
      <c r="F34" s="8" t="s">
        <v>287</v>
      </c>
      <c r="G34" s="8" t="s">
        <v>288</v>
      </c>
      <c r="H34" s="10" t="s">
        <v>68</v>
      </c>
      <c r="I34" s="8" t="s">
        <v>289</v>
      </c>
      <c r="J34" s="8" t="s">
        <v>290</v>
      </c>
      <c r="K34" s="8" t="s">
        <v>291</v>
      </c>
      <c r="L34" s="8" t="s">
        <v>292</v>
      </c>
      <c r="M34" s="8" t="s">
        <v>27</v>
      </c>
    </row>
    <row r="35" spans="1:13" ht="57.75" customHeight="1" x14ac:dyDescent="0.3">
      <c r="A35" s="3" t="s">
        <v>293</v>
      </c>
      <c r="B35" s="47" t="s">
        <v>236</v>
      </c>
      <c r="C35" s="5" t="s">
        <v>294</v>
      </c>
      <c r="D35" s="4" t="s">
        <v>295</v>
      </c>
      <c r="E35" s="4" t="s">
        <v>296</v>
      </c>
      <c r="F35" s="4" t="s">
        <v>297</v>
      </c>
      <c r="G35" s="4" t="s">
        <v>298</v>
      </c>
      <c r="H35" s="6" t="s">
        <v>259</v>
      </c>
      <c r="I35" s="4" t="s">
        <v>299</v>
      </c>
      <c r="J35" s="4" t="s">
        <v>300</v>
      </c>
      <c r="K35" s="4" t="s">
        <v>301</v>
      </c>
      <c r="L35" s="4" t="s">
        <v>81</v>
      </c>
      <c r="M35" s="12" t="s">
        <v>302</v>
      </c>
    </row>
    <row r="36" spans="1:13" ht="57.75" customHeight="1" x14ac:dyDescent="0.3">
      <c r="A36" s="7" t="s">
        <v>303</v>
      </c>
      <c r="B36" s="45" t="s">
        <v>304</v>
      </c>
      <c r="C36" s="9" t="s">
        <v>305</v>
      </c>
      <c r="D36" s="8" t="s">
        <v>64</v>
      </c>
      <c r="E36" s="8" t="s">
        <v>306</v>
      </c>
      <c r="F36" s="8" t="s">
        <v>307</v>
      </c>
      <c r="G36" s="8" t="s">
        <v>308</v>
      </c>
      <c r="H36" s="10" t="s">
        <v>68</v>
      </c>
      <c r="I36" s="8" t="s">
        <v>309</v>
      </c>
      <c r="J36" s="8" t="s">
        <v>310</v>
      </c>
      <c r="K36" s="8" t="s">
        <v>311</v>
      </c>
      <c r="L36" s="8" t="s">
        <v>312</v>
      </c>
      <c r="M36" s="8" t="s">
        <v>313</v>
      </c>
    </row>
    <row r="37" spans="1:13" ht="57.75" customHeight="1" x14ac:dyDescent="0.3">
      <c r="A37" s="3" t="s">
        <v>314</v>
      </c>
      <c r="B37" s="46" t="s">
        <v>304</v>
      </c>
      <c r="C37" s="5" t="s">
        <v>315</v>
      </c>
      <c r="D37" s="4" t="s">
        <v>124</v>
      </c>
      <c r="E37" s="4" t="s">
        <v>316</v>
      </c>
      <c r="F37" s="4" t="s">
        <v>317</v>
      </c>
      <c r="G37" s="4" t="s">
        <v>318</v>
      </c>
      <c r="H37" s="6" t="s">
        <v>319</v>
      </c>
      <c r="I37" s="4" t="s">
        <v>320</v>
      </c>
      <c r="J37" s="4" t="s">
        <v>129</v>
      </c>
      <c r="K37" s="4" t="s">
        <v>321</v>
      </c>
      <c r="L37" s="4" t="s">
        <v>322</v>
      </c>
      <c r="M37" s="4" t="s">
        <v>323</v>
      </c>
    </row>
    <row r="38" spans="1:13" ht="57.75" customHeight="1" x14ac:dyDescent="0.3">
      <c r="A38" s="7" t="s">
        <v>324</v>
      </c>
      <c r="B38" s="45" t="s">
        <v>304</v>
      </c>
      <c r="C38" s="9" t="s">
        <v>325</v>
      </c>
      <c r="D38" s="8" t="s">
        <v>295</v>
      </c>
      <c r="E38" s="8" t="s">
        <v>326</v>
      </c>
      <c r="F38" s="8" t="s">
        <v>327</v>
      </c>
      <c r="G38" s="8" t="s">
        <v>328</v>
      </c>
      <c r="H38" s="10" t="s">
        <v>259</v>
      </c>
      <c r="I38" s="8" t="s">
        <v>329</v>
      </c>
      <c r="J38" s="8" t="s">
        <v>192</v>
      </c>
      <c r="K38" s="8" t="s">
        <v>330</v>
      </c>
      <c r="L38" s="8" t="s">
        <v>49</v>
      </c>
      <c r="M38" s="8" t="s">
        <v>27</v>
      </c>
    </row>
    <row r="39" spans="1:13" ht="57.75" customHeight="1" x14ac:dyDescent="0.3">
      <c r="A39" s="3" t="s">
        <v>331</v>
      </c>
      <c r="B39" s="46" t="s">
        <v>304</v>
      </c>
      <c r="C39" s="5" t="s">
        <v>332</v>
      </c>
      <c r="D39" s="4" t="s">
        <v>212</v>
      </c>
      <c r="E39" s="4" t="s">
        <v>333</v>
      </c>
      <c r="F39" s="4" t="s">
        <v>334</v>
      </c>
      <c r="G39" s="4" t="s">
        <v>335</v>
      </c>
      <c r="H39" s="6" t="s">
        <v>68</v>
      </c>
      <c r="I39" s="4" t="s">
        <v>320</v>
      </c>
      <c r="J39" s="4" t="s">
        <v>217</v>
      </c>
      <c r="K39" s="4" t="s">
        <v>336</v>
      </c>
      <c r="L39" s="4" t="s">
        <v>60</v>
      </c>
      <c r="M39" s="12" t="s">
        <v>337</v>
      </c>
    </row>
    <row r="40" spans="1:13" ht="57.75" customHeight="1" x14ac:dyDescent="0.3">
      <c r="A40" s="7" t="s">
        <v>338</v>
      </c>
      <c r="B40" s="45" t="s">
        <v>304</v>
      </c>
      <c r="C40" s="9" t="s">
        <v>339</v>
      </c>
      <c r="D40" s="8" t="s">
        <v>30</v>
      </c>
      <c r="E40" s="8" t="s">
        <v>340</v>
      </c>
      <c r="F40" s="8" t="s">
        <v>341</v>
      </c>
      <c r="G40" s="8" t="s">
        <v>342</v>
      </c>
      <c r="H40" s="10" t="s">
        <v>259</v>
      </c>
      <c r="I40" s="8" t="s">
        <v>343</v>
      </c>
      <c r="J40" s="8" t="s">
        <v>344</v>
      </c>
      <c r="K40" s="8" t="s">
        <v>345</v>
      </c>
      <c r="L40" s="8" t="s">
        <v>38</v>
      </c>
      <c r="M40" s="11" t="s">
        <v>346</v>
      </c>
    </row>
    <row r="41" spans="1:13" ht="57.75" customHeight="1" x14ac:dyDescent="0.3">
      <c r="A41" s="3" t="s">
        <v>347</v>
      </c>
      <c r="B41" s="49" t="s">
        <v>348</v>
      </c>
      <c r="C41" s="5" t="s">
        <v>349</v>
      </c>
      <c r="D41" s="4" t="s">
        <v>64</v>
      </c>
      <c r="E41" s="4" t="s">
        <v>350</v>
      </c>
      <c r="F41" s="4" t="s">
        <v>351</v>
      </c>
      <c r="G41" s="4" t="s">
        <v>352</v>
      </c>
      <c r="H41" s="6" t="s">
        <v>259</v>
      </c>
      <c r="I41" s="4" t="s">
        <v>353</v>
      </c>
      <c r="J41" s="4" t="s">
        <v>354</v>
      </c>
      <c r="K41" s="4" t="s">
        <v>59</v>
      </c>
      <c r="L41" s="4" t="s">
        <v>72</v>
      </c>
      <c r="M41" s="4" t="s">
        <v>27</v>
      </c>
    </row>
    <row r="42" spans="1:13" ht="57.75" customHeight="1" x14ac:dyDescent="0.3">
      <c r="A42" s="7" t="s">
        <v>355</v>
      </c>
      <c r="B42" s="50" t="s">
        <v>348</v>
      </c>
      <c r="C42" s="9" t="s">
        <v>356</v>
      </c>
      <c r="D42" s="8" t="s">
        <v>64</v>
      </c>
      <c r="E42" s="8" t="s">
        <v>357</v>
      </c>
      <c r="F42" s="8" t="s">
        <v>358</v>
      </c>
      <c r="G42" s="8" t="s">
        <v>359</v>
      </c>
      <c r="H42" s="10" t="s">
        <v>34</v>
      </c>
      <c r="I42" s="8" t="s">
        <v>360</v>
      </c>
      <c r="J42" s="8" t="s">
        <v>361</v>
      </c>
      <c r="K42" s="8" t="s">
        <v>362</v>
      </c>
      <c r="L42" s="8" t="s">
        <v>72</v>
      </c>
      <c r="M42" s="8" t="s">
        <v>27</v>
      </c>
    </row>
    <row r="43" spans="1:13" ht="57.75" customHeight="1" x14ac:dyDescent="0.3">
      <c r="A43" s="3" t="s">
        <v>363</v>
      </c>
      <c r="B43" s="49" t="s">
        <v>348</v>
      </c>
      <c r="C43" s="5" t="s">
        <v>364</v>
      </c>
      <c r="D43" s="4" t="s">
        <v>64</v>
      </c>
      <c r="E43" s="4" t="s">
        <v>365</v>
      </c>
      <c r="F43" s="4" t="s">
        <v>366</v>
      </c>
      <c r="G43" s="4" t="s">
        <v>367</v>
      </c>
      <c r="H43" s="6" t="s">
        <v>68</v>
      </c>
      <c r="I43" s="4" t="s">
        <v>368</v>
      </c>
      <c r="J43" s="4" t="s">
        <v>369</v>
      </c>
      <c r="K43" s="4" t="s">
        <v>174</v>
      </c>
      <c r="L43" s="4" t="s">
        <v>49</v>
      </c>
      <c r="M43" s="4" t="s">
        <v>27</v>
      </c>
    </row>
    <row r="44" spans="1:13" ht="57.75" customHeight="1" x14ac:dyDescent="0.3">
      <c r="A44" s="7" t="s">
        <v>370</v>
      </c>
      <c r="B44" s="50" t="s">
        <v>348</v>
      </c>
      <c r="C44" s="9" t="s">
        <v>371</v>
      </c>
      <c r="D44" s="8" t="s">
        <v>64</v>
      </c>
      <c r="E44" s="8" t="s">
        <v>372</v>
      </c>
      <c r="F44" s="8" t="s">
        <v>373</v>
      </c>
      <c r="G44" s="8" t="s">
        <v>374</v>
      </c>
      <c r="H44" s="10" t="s">
        <v>34</v>
      </c>
      <c r="I44" s="8" t="s">
        <v>375</v>
      </c>
      <c r="J44" s="8" t="s">
        <v>376</v>
      </c>
      <c r="K44" s="8" t="s">
        <v>377</v>
      </c>
      <c r="L44" s="8" t="s">
        <v>49</v>
      </c>
      <c r="M44" s="8" t="s">
        <v>27</v>
      </c>
    </row>
    <row r="45" spans="1:13" ht="57.75" customHeight="1" x14ac:dyDescent="0.3">
      <c r="A45" s="3" t="s">
        <v>378</v>
      </c>
      <c r="B45" s="49" t="s">
        <v>348</v>
      </c>
      <c r="C45" s="5" t="s">
        <v>379</v>
      </c>
      <c r="D45" s="4" t="s">
        <v>64</v>
      </c>
      <c r="E45" s="4" t="s">
        <v>380</v>
      </c>
      <c r="F45" s="4" t="s">
        <v>381</v>
      </c>
      <c r="G45" s="4" t="s">
        <v>382</v>
      </c>
      <c r="H45" s="6" t="s">
        <v>68</v>
      </c>
      <c r="I45" s="4" t="s">
        <v>383</v>
      </c>
      <c r="J45" s="4" t="s">
        <v>384</v>
      </c>
      <c r="K45" s="4" t="s">
        <v>385</v>
      </c>
      <c r="L45" s="4" t="s">
        <v>386</v>
      </c>
      <c r="M45" s="12" t="s">
        <v>387</v>
      </c>
    </row>
    <row r="46" spans="1:13" ht="57.75" customHeight="1" x14ac:dyDescent="0.3">
      <c r="A46" s="7" t="s">
        <v>388</v>
      </c>
      <c r="B46" s="50" t="s">
        <v>348</v>
      </c>
      <c r="C46" s="9" t="s">
        <v>389</v>
      </c>
      <c r="D46" s="8" t="s">
        <v>64</v>
      </c>
      <c r="E46" s="8" t="s">
        <v>390</v>
      </c>
      <c r="F46" s="8" t="s">
        <v>391</v>
      </c>
      <c r="G46" s="8" t="s">
        <v>392</v>
      </c>
      <c r="H46" s="10" t="s">
        <v>68</v>
      </c>
      <c r="I46" s="8" t="s">
        <v>393</v>
      </c>
      <c r="J46" s="8" t="s">
        <v>242</v>
      </c>
      <c r="K46" s="8" t="s">
        <v>394</v>
      </c>
      <c r="L46" s="8" t="s">
        <v>49</v>
      </c>
      <c r="M46" s="11" t="s">
        <v>395</v>
      </c>
    </row>
    <row r="47" spans="1:13" ht="57.75" customHeight="1" x14ac:dyDescent="0.3">
      <c r="A47" s="3" t="s">
        <v>396</v>
      </c>
      <c r="B47" s="49" t="s">
        <v>348</v>
      </c>
      <c r="C47" s="5" t="s">
        <v>397</v>
      </c>
      <c r="D47" s="4" t="s">
        <v>64</v>
      </c>
      <c r="E47" s="4" t="s">
        <v>398</v>
      </c>
      <c r="F47" s="4" t="s">
        <v>399</v>
      </c>
      <c r="G47" s="4" t="s">
        <v>400</v>
      </c>
      <c r="H47" s="6" t="s">
        <v>34</v>
      </c>
      <c r="I47" s="4" t="s">
        <v>401</v>
      </c>
      <c r="J47" s="4" t="s">
        <v>402</v>
      </c>
      <c r="K47" s="4" t="s">
        <v>403</v>
      </c>
      <c r="L47" s="4" t="s">
        <v>38</v>
      </c>
      <c r="M47" s="4" t="s">
        <v>27</v>
      </c>
    </row>
    <row r="48" spans="1:13" ht="57.75" customHeight="1" x14ac:dyDescent="0.3">
      <c r="A48" s="7" t="s">
        <v>404</v>
      </c>
      <c r="B48" s="50" t="s">
        <v>348</v>
      </c>
      <c r="C48" s="9" t="s">
        <v>405</v>
      </c>
      <c r="D48" s="8" t="s">
        <v>64</v>
      </c>
      <c r="E48" s="8" t="s">
        <v>406</v>
      </c>
      <c r="F48" s="8" t="s">
        <v>407</v>
      </c>
      <c r="G48" s="8" t="s">
        <v>408</v>
      </c>
      <c r="H48" s="10" t="s">
        <v>409</v>
      </c>
      <c r="I48" s="8" t="s">
        <v>410</v>
      </c>
      <c r="J48" s="8" t="s">
        <v>411</v>
      </c>
      <c r="K48" s="8" t="s">
        <v>412</v>
      </c>
      <c r="L48" s="8" t="s">
        <v>49</v>
      </c>
      <c r="M48" s="8" t="s">
        <v>413</v>
      </c>
    </row>
    <row r="49" spans="1:13" ht="57.75" customHeight="1" x14ac:dyDescent="0.3">
      <c r="A49" s="3" t="s">
        <v>414</v>
      </c>
      <c r="B49" s="39" t="s">
        <v>415</v>
      </c>
      <c r="C49" s="5" t="s">
        <v>416</v>
      </c>
      <c r="D49" s="4" t="s">
        <v>64</v>
      </c>
      <c r="E49" s="4" t="s">
        <v>417</v>
      </c>
      <c r="F49" s="4" t="s">
        <v>418</v>
      </c>
      <c r="G49" s="4" t="s">
        <v>419</v>
      </c>
      <c r="H49" s="6" t="s">
        <v>68</v>
      </c>
      <c r="I49" s="4" t="s">
        <v>368</v>
      </c>
      <c r="J49" s="4" t="s">
        <v>420</v>
      </c>
      <c r="K49" s="4" t="s">
        <v>421</v>
      </c>
      <c r="L49" s="4" t="s">
        <v>386</v>
      </c>
      <c r="M49" s="4" t="s">
        <v>422</v>
      </c>
    </row>
    <row r="50" spans="1:13" ht="57.75" customHeight="1" x14ac:dyDescent="0.3">
      <c r="A50" s="7" t="s">
        <v>423</v>
      </c>
      <c r="B50" s="40" t="s">
        <v>415</v>
      </c>
      <c r="C50" s="9" t="s">
        <v>424</v>
      </c>
      <c r="D50" s="8" t="s">
        <v>64</v>
      </c>
      <c r="E50" s="8" t="s">
        <v>425</v>
      </c>
      <c r="F50" s="8" t="s">
        <v>426</v>
      </c>
      <c r="G50" s="8" t="s">
        <v>427</v>
      </c>
      <c r="H50" s="10" t="s">
        <v>319</v>
      </c>
      <c r="I50" s="8" t="s">
        <v>368</v>
      </c>
      <c r="J50" s="8" t="s">
        <v>428</v>
      </c>
      <c r="K50" s="8" t="s">
        <v>429</v>
      </c>
      <c r="L50" s="8" t="s">
        <v>49</v>
      </c>
      <c r="M50" s="8" t="s">
        <v>27</v>
      </c>
    </row>
    <row r="51" spans="1:13" ht="57.75" customHeight="1" x14ac:dyDescent="0.3">
      <c r="A51" s="3" t="s">
        <v>430</v>
      </c>
      <c r="B51" s="39" t="s">
        <v>415</v>
      </c>
      <c r="C51" s="5" t="s">
        <v>431</v>
      </c>
      <c r="D51" s="4" t="s">
        <v>64</v>
      </c>
      <c r="E51" s="4" t="s">
        <v>432</v>
      </c>
      <c r="F51" s="4" t="s">
        <v>433</v>
      </c>
      <c r="G51" s="4" t="s">
        <v>434</v>
      </c>
      <c r="H51" s="6" t="s">
        <v>319</v>
      </c>
      <c r="I51" s="4" t="s">
        <v>435</v>
      </c>
      <c r="J51" s="4" t="s">
        <v>436</v>
      </c>
      <c r="K51" s="4" t="s">
        <v>437</v>
      </c>
      <c r="L51" s="4" t="s">
        <v>438</v>
      </c>
      <c r="M51" s="4" t="s">
        <v>439</v>
      </c>
    </row>
    <row r="52" spans="1:13" ht="57.75" customHeight="1" x14ac:dyDescent="0.3">
      <c r="A52" s="7" t="s">
        <v>440</v>
      </c>
      <c r="B52" s="40" t="s">
        <v>415</v>
      </c>
      <c r="C52" s="9" t="s">
        <v>441</v>
      </c>
      <c r="D52" s="8" t="s">
        <v>41</v>
      </c>
      <c r="E52" s="8" t="s">
        <v>442</v>
      </c>
      <c r="F52" s="8" t="s">
        <v>443</v>
      </c>
      <c r="G52" s="8" t="s">
        <v>444</v>
      </c>
      <c r="H52" s="10" t="s">
        <v>319</v>
      </c>
      <c r="I52" s="8" t="s">
        <v>445</v>
      </c>
      <c r="J52" s="8" t="s">
        <v>446</v>
      </c>
      <c r="K52" s="8" t="s">
        <v>447</v>
      </c>
      <c r="L52" s="8" t="s">
        <v>184</v>
      </c>
      <c r="M52" s="11" t="s">
        <v>448</v>
      </c>
    </row>
    <row r="53" spans="1:13" ht="57.75" customHeight="1" x14ac:dyDescent="0.3">
      <c r="A53" s="3" t="s">
        <v>449</v>
      </c>
      <c r="B53" s="39" t="s">
        <v>415</v>
      </c>
      <c r="C53" s="5" t="s">
        <v>450</v>
      </c>
      <c r="D53" s="4" t="s">
        <v>64</v>
      </c>
      <c r="E53" s="4" t="s">
        <v>451</v>
      </c>
      <c r="F53" s="4" t="s">
        <v>452</v>
      </c>
      <c r="G53" s="4" t="s">
        <v>453</v>
      </c>
      <c r="H53" s="6" t="s">
        <v>34</v>
      </c>
      <c r="I53" s="4" t="s">
        <v>454</v>
      </c>
      <c r="J53" s="4" t="s">
        <v>455</v>
      </c>
      <c r="K53" s="4" t="s">
        <v>456</v>
      </c>
      <c r="L53" s="4" t="s">
        <v>38</v>
      </c>
      <c r="M53" s="4" t="s">
        <v>27</v>
      </c>
    </row>
    <row r="54" spans="1:13" ht="57.75" customHeight="1" x14ac:dyDescent="0.3">
      <c r="A54" s="7" t="s">
        <v>457</v>
      </c>
      <c r="B54" s="35" t="s">
        <v>458</v>
      </c>
      <c r="C54" s="9" t="s">
        <v>459</v>
      </c>
      <c r="D54" s="8" t="s">
        <v>64</v>
      </c>
      <c r="E54" s="8" t="s">
        <v>460</v>
      </c>
      <c r="F54" s="8" t="s">
        <v>461</v>
      </c>
      <c r="G54" s="38" t="s">
        <v>462</v>
      </c>
      <c r="H54" s="10" t="s">
        <v>34</v>
      </c>
      <c r="I54" s="8" t="s">
        <v>463</v>
      </c>
      <c r="J54" s="8" t="s">
        <v>464</v>
      </c>
      <c r="K54" s="8" t="s">
        <v>465</v>
      </c>
      <c r="L54" s="8" t="s">
        <v>386</v>
      </c>
      <c r="M54" s="8" t="s">
        <v>27</v>
      </c>
    </row>
    <row r="55" spans="1:13" ht="57.75" customHeight="1" x14ac:dyDescent="0.3">
      <c r="A55" s="3" t="s">
        <v>466</v>
      </c>
      <c r="B55" s="36" t="s">
        <v>458</v>
      </c>
      <c r="C55" s="5" t="s">
        <v>467</v>
      </c>
      <c r="D55" s="4" t="s">
        <v>64</v>
      </c>
      <c r="E55" s="4" t="s">
        <v>468</v>
      </c>
      <c r="F55" s="4" t="s">
        <v>469</v>
      </c>
      <c r="G55" s="37" t="s">
        <v>470</v>
      </c>
      <c r="H55" s="6" t="s">
        <v>34</v>
      </c>
      <c r="I55" s="4" t="s">
        <v>471</v>
      </c>
      <c r="J55" s="4" t="s">
        <v>472</v>
      </c>
      <c r="K55" s="4" t="s">
        <v>473</v>
      </c>
      <c r="L55" s="4" t="s">
        <v>38</v>
      </c>
      <c r="M55" s="4" t="s">
        <v>27</v>
      </c>
    </row>
    <row r="56" spans="1:13" ht="57.75" customHeight="1" x14ac:dyDescent="0.3">
      <c r="A56" s="7" t="s">
        <v>474</v>
      </c>
      <c r="B56" s="35" t="s">
        <v>458</v>
      </c>
      <c r="C56" s="9" t="s">
        <v>475</v>
      </c>
      <c r="D56" s="8" t="s">
        <v>64</v>
      </c>
      <c r="E56" s="8" t="s">
        <v>476</v>
      </c>
      <c r="F56" s="8" t="s">
        <v>477</v>
      </c>
      <c r="G56" s="8" t="s">
        <v>478</v>
      </c>
      <c r="H56" s="10" t="s">
        <v>259</v>
      </c>
      <c r="I56" s="8" t="s">
        <v>479</v>
      </c>
      <c r="J56" s="8" t="s">
        <v>480</v>
      </c>
      <c r="K56" s="8" t="s">
        <v>481</v>
      </c>
      <c r="L56" s="8" t="s">
        <v>386</v>
      </c>
      <c r="M56" s="8" t="s">
        <v>482</v>
      </c>
    </row>
    <row r="57" spans="1:13" ht="57.75" customHeight="1" x14ac:dyDescent="0.3">
      <c r="A57" s="3" t="s">
        <v>483</v>
      </c>
      <c r="B57" s="36" t="s">
        <v>458</v>
      </c>
      <c r="C57" s="5" t="s">
        <v>484</v>
      </c>
      <c r="D57" s="4" t="s">
        <v>64</v>
      </c>
      <c r="E57" s="4" t="s">
        <v>485</v>
      </c>
      <c r="F57" s="4" t="s">
        <v>486</v>
      </c>
      <c r="G57" s="4" t="s">
        <v>487</v>
      </c>
      <c r="H57" s="6" t="s">
        <v>34</v>
      </c>
      <c r="I57" s="4" t="s">
        <v>488</v>
      </c>
      <c r="J57" s="4" t="s">
        <v>489</v>
      </c>
      <c r="K57" s="4" t="s">
        <v>490</v>
      </c>
      <c r="L57" s="4" t="s">
        <v>49</v>
      </c>
      <c r="M57" s="4" t="s">
        <v>27</v>
      </c>
    </row>
    <row r="58" spans="1:13" ht="57.75" customHeight="1" x14ac:dyDescent="0.3">
      <c r="A58" s="7" t="s">
        <v>491</v>
      </c>
      <c r="B58" s="35" t="s">
        <v>458</v>
      </c>
      <c r="C58" s="9" t="s">
        <v>492</v>
      </c>
      <c r="D58" s="8" t="s">
        <v>64</v>
      </c>
      <c r="E58" s="8" t="s">
        <v>493</v>
      </c>
      <c r="F58" s="8" t="s">
        <v>494</v>
      </c>
      <c r="G58" s="8" t="s">
        <v>495</v>
      </c>
      <c r="H58" s="10" t="s">
        <v>34</v>
      </c>
      <c r="I58" s="8" t="s">
        <v>496</v>
      </c>
      <c r="J58" s="8" t="s">
        <v>497</v>
      </c>
      <c r="K58" s="8" t="s">
        <v>498</v>
      </c>
      <c r="L58" s="8" t="s">
        <v>60</v>
      </c>
      <c r="M58" s="8" t="s">
        <v>27</v>
      </c>
    </row>
    <row r="59" spans="1:13" ht="57.75" customHeight="1" x14ac:dyDescent="0.3">
      <c r="A59" s="3" t="s">
        <v>499</v>
      </c>
      <c r="B59" s="36" t="s">
        <v>458</v>
      </c>
      <c r="C59" s="5" t="s">
        <v>500</v>
      </c>
      <c r="D59" s="4" t="s">
        <v>64</v>
      </c>
      <c r="E59" s="4" t="s">
        <v>501</v>
      </c>
      <c r="F59" s="4" t="s">
        <v>502</v>
      </c>
      <c r="G59" s="4" t="s">
        <v>503</v>
      </c>
      <c r="H59" s="6" t="s">
        <v>34</v>
      </c>
      <c r="I59" s="4" t="s">
        <v>504</v>
      </c>
      <c r="J59" s="4" t="s">
        <v>505</v>
      </c>
      <c r="K59" s="4" t="s">
        <v>506</v>
      </c>
      <c r="L59" s="4" t="s">
        <v>386</v>
      </c>
      <c r="M59" s="4" t="s">
        <v>507</v>
      </c>
    </row>
    <row r="60" spans="1:13" ht="57.75" customHeight="1" x14ac:dyDescent="0.3">
      <c r="A60" s="7" t="s">
        <v>508</v>
      </c>
      <c r="B60" s="35" t="s">
        <v>458</v>
      </c>
      <c r="C60" s="9" t="s">
        <v>509</v>
      </c>
      <c r="D60" s="8" t="s">
        <v>64</v>
      </c>
      <c r="E60" s="8" t="s">
        <v>510</v>
      </c>
      <c r="F60" s="8" t="s">
        <v>511</v>
      </c>
      <c r="G60" s="8" t="s">
        <v>512</v>
      </c>
      <c r="H60" s="10" t="s">
        <v>319</v>
      </c>
      <c r="I60" s="8" t="s">
        <v>513</v>
      </c>
      <c r="J60" s="8" t="s">
        <v>514</v>
      </c>
      <c r="K60" s="8" t="s">
        <v>515</v>
      </c>
      <c r="L60" s="8" t="s">
        <v>49</v>
      </c>
      <c r="M60" s="8" t="s">
        <v>27</v>
      </c>
    </row>
    <row r="61" spans="1:13" ht="57.75" customHeight="1" x14ac:dyDescent="0.3">
      <c r="A61" s="3" t="s">
        <v>516</v>
      </c>
      <c r="B61" s="36" t="s">
        <v>458</v>
      </c>
      <c r="C61" s="5" t="s">
        <v>517</v>
      </c>
      <c r="D61" s="4" t="s">
        <v>64</v>
      </c>
      <c r="E61" s="4" t="s">
        <v>518</v>
      </c>
      <c r="F61" s="4" t="s">
        <v>519</v>
      </c>
      <c r="G61" s="4" t="s">
        <v>520</v>
      </c>
      <c r="H61" s="6" t="s">
        <v>319</v>
      </c>
      <c r="I61" s="4" t="s">
        <v>521</v>
      </c>
      <c r="J61" s="4" t="s">
        <v>522</v>
      </c>
      <c r="K61" s="4" t="s">
        <v>523</v>
      </c>
      <c r="L61" s="4" t="s">
        <v>386</v>
      </c>
      <c r="M61" s="12" t="s">
        <v>524</v>
      </c>
    </row>
    <row r="63" spans="1:13" ht="43.5" customHeight="1" x14ac:dyDescent="0.3">
      <c r="A63" s="43" t="s">
        <v>525</v>
      </c>
      <c r="B63" s="43"/>
      <c r="C63" s="43"/>
      <c r="D63" s="43"/>
      <c r="E63" s="43"/>
      <c r="F63" s="43"/>
      <c r="G63" s="43"/>
      <c r="H63" s="43"/>
      <c r="I63" s="43"/>
      <c r="J63" s="43"/>
      <c r="K63" s="43"/>
      <c r="L63" s="43"/>
      <c r="M63" s="43"/>
    </row>
  </sheetData>
  <autoFilter ref="A4:M61" xr:uid="{00000000-0009-0000-0000-000000000000}"/>
  <mergeCells count="3">
    <mergeCell ref="A1:M1"/>
    <mergeCell ref="A2:M2"/>
    <mergeCell ref="A63:M63"/>
  </mergeCells>
  <pageMargins left="0.75" right="0.75" top="1" bottom="1" header="0.511811023622047" footer="0.511811023622047"/>
  <pageSetup paperSize="8" scale="7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0"/>
  <sheetViews>
    <sheetView showGridLines="0" zoomScaleNormal="100" workbookViewId="0">
      <pane xSplit="3" ySplit="3" topLeftCell="D54" activePane="bottomRight" state="frozen"/>
      <selection pane="topRight" activeCell="D1" sqref="D1"/>
      <selection pane="bottomLeft" activeCell="A4" sqref="A4"/>
      <selection pane="bottomRight" activeCell="C43" sqref="C43"/>
    </sheetView>
  </sheetViews>
  <sheetFormatPr defaultColWidth="8.6640625" defaultRowHeight="14.4" x14ac:dyDescent="0.3"/>
  <cols>
    <col min="1" max="1" width="11.109375" customWidth="1"/>
    <col min="2" max="2" width="42" customWidth="1"/>
    <col min="3" max="3" width="15" customWidth="1"/>
    <col min="4" max="15" width="5" customWidth="1"/>
  </cols>
  <sheetData>
    <row r="1" spans="1:15" ht="21.75" customHeight="1" x14ac:dyDescent="0.3">
      <c r="A1" s="41" t="s">
        <v>526</v>
      </c>
      <c r="B1" s="41"/>
      <c r="C1" s="41"/>
      <c r="D1" s="41"/>
      <c r="E1" s="41"/>
      <c r="F1" s="41"/>
      <c r="G1" s="41"/>
      <c r="H1" s="41"/>
      <c r="I1" s="41"/>
      <c r="J1" s="41"/>
      <c r="K1" s="41"/>
      <c r="L1" s="41"/>
      <c r="M1" s="41"/>
      <c r="N1" s="41"/>
      <c r="O1" s="41"/>
    </row>
    <row r="2" spans="1:15" ht="25.5" customHeight="1" x14ac:dyDescent="0.3">
      <c r="A2" s="42" t="s">
        <v>527</v>
      </c>
      <c r="B2" s="42"/>
      <c r="C2" s="42"/>
      <c r="D2" s="42"/>
      <c r="E2" s="42"/>
      <c r="F2" s="42"/>
      <c r="G2" s="42"/>
      <c r="H2" s="42"/>
      <c r="I2" s="42"/>
      <c r="J2" s="42"/>
      <c r="K2" s="42"/>
      <c r="L2" s="42"/>
      <c r="M2" s="42"/>
      <c r="N2" s="42"/>
      <c r="O2" s="42"/>
    </row>
    <row r="3" spans="1:15" ht="25.5" customHeight="1" x14ac:dyDescent="0.3">
      <c r="A3" s="2" t="s">
        <v>2</v>
      </c>
      <c r="B3" s="2" t="s">
        <v>528</v>
      </c>
      <c r="C3" s="2" t="s">
        <v>9</v>
      </c>
      <c r="D3" s="2" t="s">
        <v>529</v>
      </c>
      <c r="E3" s="2" t="s">
        <v>530</v>
      </c>
      <c r="F3" s="2" t="s">
        <v>531</v>
      </c>
      <c r="G3" s="2" t="s">
        <v>532</v>
      </c>
      <c r="H3" s="2" t="s">
        <v>533</v>
      </c>
      <c r="I3" s="2" t="s">
        <v>534</v>
      </c>
      <c r="J3" s="2" t="s">
        <v>535</v>
      </c>
      <c r="K3" s="2" t="s">
        <v>536</v>
      </c>
      <c r="L3" s="2" t="s">
        <v>537</v>
      </c>
      <c r="M3" s="2" t="s">
        <v>538</v>
      </c>
      <c r="N3" s="2" t="s">
        <v>539</v>
      </c>
      <c r="O3" s="2" t="s">
        <v>540</v>
      </c>
    </row>
    <row r="4" spans="1:15" ht="18" customHeight="1" x14ac:dyDescent="0.3">
      <c r="A4" s="13" t="s">
        <v>15</v>
      </c>
      <c r="B4" s="14" t="s">
        <v>17</v>
      </c>
      <c r="C4" s="15" t="s">
        <v>22</v>
      </c>
      <c r="D4" s="16" t="s">
        <v>541</v>
      </c>
      <c r="E4" s="16" t="s">
        <v>541</v>
      </c>
      <c r="F4" s="16" t="s">
        <v>541</v>
      </c>
      <c r="G4" s="16" t="s">
        <v>541</v>
      </c>
      <c r="H4" s="16" t="s">
        <v>541</v>
      </c>
      <c r="I4" s="16" t="s">
        <v>541</v>
      </c>
      <c r="J4" s="16" t="s">
        <v>541</v>
      </c>
      <c r="K4" s="16" t="s">
        <v>541</v>
      </c>
      <c r="L4" s="16" t="s">
        <v>541</v>
      </c>
      <c r="M4" s="16" t="s">
        <v>541</v>
      </c>
      <c r="N4" s="16" t="s">
        <v>541</v>
      </c>
      <c r="O4" s="16" t="s">
        <v>541</v>
      </c>
    </row>
    <row r="5" spans="1:15" ht="18" customHeight="1" x14ac:dyDescent="0.3">
      <c r="A5" s="17" t="s">
        <v>28</v>
      </c>
      <c r="B5" s="18" t="s">
        <v>29</v>
      </c>
      <c r="C5" s="19" t="s">
        <v>34</v>
      </c>
      <c r="D5" s="16" t="s">
        <v>541</v>
      </c>
      <c r="E5" s="16" t="s">
        <v>541</v>
      </c>
      <c r="F5" s="16" t="s">
        <v>541</v>
      </c>
      <c r="G5" s="16" t="s">
        <v>541</v>
      </c>
      <c r="H5" s="16" t="s">
        <v>541</v>
      </c>
      <c r="I5" s="16" t="s">
        <v>541</v>
      </c>
      <c r="J5" s="16" t="s">
        <v>541</v>
      </c>
      <c r="K5" s="16" t="s">
        <v>541</v>
      </c>
      <c r="L5" s="16" t="s">
        <v>541</v>
      </c>
      <c r="M5" s="16" t="s">
        <v>541</v>
      </c>
      <c r="N5" s="16" t="s">
        <v>541</v>
      </c>
      <c r="O5" s="16" t="s">
        <v>541</v>
      </c>
    </row>
    <row r="6" spans="1:15" ht="18" customHeight="1" x14ac:dyDescent="0.3">
      <c r="A6" s="13" t="s">
        <v>39</v>
      </c>
      <c r="B6" s="14" t="s">
        <v>40</v>
      </c>
      <c r="C6" s="15" t="s">
        <v>45</v>
      </c>
      <c r="D6" s="20"/>
      <c r="E6" s="20"/>
      <c r="F6" s="20"/>
      <c r="G6" s="20"/>
      <c r="H6" s="20"/>
      <c r="I6" s="20"/>
      <c r="J6" s="20"/>
      <c r="K6" s="20"/>
      <c r="L6" s="20"/>
      <c r="M6" s="20"/>
      <c r="N6" s="20"/>
      <c r="O6" s="20"/>
    </row>
    <row r="7" spans="1:15" ht="18" customHeight="1" x14ac:dyDescent="0.3">
      <c r="A7" s="17" t="s">
        <v>51</v>
      </c>
      <c r="B7" s="18" t="s">
        <v>52</v>
      </c>
      <c r="C7" s="19" t="s">
        <v>34</v>
      </c>
      <c r="D7" s="16" t="s">
        <v>541</v>
      </c>
      <c r="E7" s="16" t="s">
        <v>541</v>
      </c>
      <c r="F7" s="16" t="s">
        <v>541</v>
      </c>
      <c r="G7" s="16" t="s">
        <v>541</v>
      </c>
      <c r="H7" s="16" t="s">
        <v>541</v>
      </c>
      <c r="I7" s="16" t="s">
        <v>541</v>
      </c>
      <c r="J7" s="16" t="s">
        <v>541</v>
      </c>
      <c r="K7" s="16" t="s">
        <v>541</v>
      </c>
      <c r="L7" s="16" t="s">
        <v>541</v>
      </c>
      <c r="M7" s="16" t="s">
        <v>541</v>
      </c>
      <c r="N7" s="16" t="s">
        <v>541</v>
      </c>
      <c r="O7" s="16" t="s">
        <v>541</v>
      </c>
    </row>
    <row r="8" spans="1:15" ht="18" customHeight="1" x14ac:dyDescent="0.3">
      <c r="A8" s="13" t="s">
        <v>62</v>
      </c>
      <c r="B8" s="14" t="s">
        <v>63</v>
      </c>
      <c r="C8" s="15" t="s">
        <v>68</v>
      </c>
      <c r="D8" s="20"/>
      <c r="E8" s="20"/>
      <c r="F8" s="20"/>
      <c r="G8" s="16" t="s">
        <v>541</v>
      </c>
      <c r="H8" s="20"/>
      <c r="I8" s="20"/>
      <c r="J8" s="20"/>
      <c r="K8" s="20"/>
      <c r="L8" s="20"/>
      <c r="M8" s="20"/>
      <c r="N8" s="20"/>
      <c r="O8" s="20"/>
    </row>
    <row r="9" spans="1:15" ht="18" customHeight="1" x14ac:dyDescent="0.3">
      <c r="A9" s="17" t="s">
        <v>73</v>
      </c>
      <c r="B9" s="18" t="s">
        <v>74</v>
      </c>
      <c r="C9" s="19" t="s">
        <v>45</v>
      </c>
      <c r="D9" s="21"/>
      <c r="E9" s="21"/>
      <c r="F9" s="21"/>
      <c r="G9" s="21"/>
      <c r="H9" s="21"/>
      <c r="I9" s="21"/>
      <c r="J9" s="21"/>
      <c r="K9" s="21"/>
      <c r="L9" s="21"/>
      <c r="M9" s="21"/>
      <c r="N9" s="21"/>
      <c r="O9" s="21"/>
    </row>
    <row r="10" spans="1:15" ht="18" customHeight="1" x14ac:dyDescent="0.3">
      <c r="A10" s="13" t="s">
        <v>82</v>
      </c>
      <c r="B10" s="14" t="s">
        <v>83</v>
      </c>
      <c r="C10" s="15" t="s">
        <v>34</v>
      </c>
      <c r="D10" s="16" t="s">
        <v>541</v>
      </c>
      <c r="E10" s="16" t="s">
        <v>541</v>
      </c>
      <c r="F10" s="16" t="s">
        <v>541</v>
      </c>
      <c r="G10" s="16" t="s">
        <v>541</v>
      </c>
      <c r="H10" s="16" t="s">
        <v>541</v>
      </c>
      <c r="I10" s="16" t="s">
        <v>541</v>
      </c>
      <c r="J10" s="16" t="s">
        <v>541</v>
      </c>
      <c r="K10" s="16" t="s">
        <v>541</v>
      </c>
      <c r="L10" s="16" t="s">
        <v>541</v>
      </c>
      <c r="M10" s="16" t="s">
        <v>541</v>
      </c>
      <c r="N10" s="16" t="s">
        <v>541</v>
      </c>
      <c r="O10" s="16" t="s">
        <v>541</v>
      </c>
    </row>
    <row r="11" spans="1:15" ht="18" customHeight="1" x14ac:dyDescent="0.3">
      <c r="A11" s="17" t="s">
        <v>89</v>
      </c>
      <c r="B11" s="18" t="s">
        <v>90</v>
      </c>
      <c r="C11" s="19" t="s">
        <v>94</v>
      </c>
      <c r="D11" s="21"/>
      <c r="E11" s="21"/>
      <c r="F11" s="21"/>
      <c r="G11" s="21"/>
      <c r="H11" s="21"/>
      <c r="I11" s="16" t="s">
        <v>541</v>
      </c>
      <c r="J11" s="16" t="s">
        <v>541</v>
      </c>
      <c r="K11" s="16" t="s">
        <v>541</v>
      </c>
      <c r="L11" s="16" t="s">
        <v>541</v>
      </c>
      <c r="M11" s="16" t="s">
        <v>541</v>
      </c>
      <c r="N11" s="21"/>
      <c r="O11" s="21"/>
    </row>
    <row r="12" spans="1:15" ht="18" customHeight="1" x14ac:dyDescent="0.3">
      <c r="A12" s="13" t="s">
        <v>98</v>
      </c>
      <c r="B12" s="14" t="s">
        <v>100</v>
      </c>
      <c r="C12" s="15" t="s">
        <v>34</v>
      </c>
      <c r="D12" s="16" t="s">
        <v>541</v>
      </c>
      <c r="E12" s="16" t="s">
        <v>541</v>
      </c>
      <c r="F12" s="16" t="s">
        <v>541</v>
      </c>
      <c r="G12" s="16" t="s">
        <v>541</v>
      </c>
      <c r="H12" s="16" t="s">
        <v>541</v>
      </c>
      <c r="I12" s="16" t="s">
        <v>541</v>
      </c>
      <c r="J12" s="16" t="s">
        <v>541</v>
      </c>
      <c r="K12" s="16" t="s">
        <v>541</v>
      </c>
      <c r="L12" s="16" t="s">
        <v>541</v>
      </c>
      <c r="M12" s="16" t="s">
        <v>541</v>
      </c>
      <c r="N12" s="16" t="s">
        <v>541</v>
      </c>
      <c r="O12" s="16" t="s">
        <v>541</v>
      </c>
    </row>
    <row r="13" spans="1:15" ht="18" customHeight="1" x14ac:dyDescent="0.3">
      <c r="A13" s="17" t="s">
        <v>107</v>
      </c>
      <c r="B13" s="18" t="s">
        <v>108</v>
      </c>
      <c r="C13" s="19" t="s">
        <v>34</v>
      </c>
      <c r="D13" s="16" t="s">
        <v>541</v>
      </c>
      <c r="E13" s="16" t="s">
        <v>541</v>
      </c>
      <c r="F13" s="16" t="s">
        <v>541</v>
      </c>
      <c r="G13" s="16" t="s">
        <v>541</v>
      </c>
      <c r="H13" s="16" t="s">
        <v>541</v>
      </c>
      <c r="I13" s="16" t="s">
        <v>541</v>
      </c>
      <c r="J13" s="16" t="s">
        <v>541</v>
      </c>
      <c r="K13" s="16" t="s">
        <v>541</v>
      </c>
      <c r="L13" s="16" t="s">
        <v>541</v>
      </c>
      <c r="M13" s="16" t="s">
        <v>541</v>
      </c>
      <c r="N13" s="16" t="s">
        <v>541</v>
      </c>
      <c r="O13" s="16" t="s">
        <v>541</v>
      </c>
    </row>
    <row r="14" spans="1:15" ht="18" customHeight="1" x14ac:dyDescent="0.3">
      <c r="A14" s="13" t="s">
        <v>115</v>
      </c>
      <c r="B14" s="14" t="s">
        <v>116</v>
      </c>
      <c r="C14" s="15" t="s">
        <v>34</v>
      </c>
      <c r="D14" s="16" t="s">
        <v>541</v>
      </c>
      <c r="E14" s="16" t="s">
        <v>541</v>
      </c>
      <c r="F14" s="16" t="s">
        <v>541</v>
      </c>
      <c r="G14" s="16" t="s">
        <v>541</v>
      </c>
      <c r="H14" s="16" t="s">
        <v>541</v>
      </c>
      <c r="I14" s="16" t="s">
        <v>541</v>
      </c>
      <c r="J14" s="16" t="s">
        <v>541</v>
      </c>
      <c r="K14" s="16" t="s">
        <v>541</v>
      </c>
      <c r="L14" s="16" t="s">
        <v>541</v>
      </c>
      <c r="M14" s="16" t="s">
        <v>541</v>
      </c>
      <c r="N14" s="16" t="s">
        <v>541</v>
      </c>
      <c r="O14" s="16" t="s">
        <v>541</v>
      </c>
    </row>
    <row r="15" spans="1:15" ht="18" customHeight="1" x14ac:dyDescent="0.3">
      <c r="A15" s="17" t="s">
        <v>122</v>
      </c>
      <c r="B15" s="18" t="s">
        <v>123</v>
      </c>
      <c r="C15" s="19" t="s">
        <v>34</v>
      </c>
      <c r="D15" s="16" t="s">
        <v>541</v>
      </c>
      <c r="E15" s="16" t="s">
        <v>541</v>
      </c>
      <c r="F15" s="16" t="s">
        <v>541</v>
      </c>
      <c r="G15" s="16" t="s">
        <v>541</v>
      </c>
      <c r="H15" s="16" t="s">
        <v>541</v>
      </c>
      <c r="I15" s="16" t="s">
        <v>541</v>
      </c>
      <c r="J15" s="16" t="s">
        <v>541</v>
      </c>
      <c r="K15" s="16" t="s">
        <v>541</v>
      </c>
      <c r="L15" s="16" t="s">
        <v>541</v>
      </c>
      <c r="M15" s="16" t="s">
        <v>541</v>
      </c>
      <c r="N15" s="16" t="s">
        <v>541</v>
      </c>
      <c r="O15" s="16" t="s">
        <v>541</v>
      </c>
    </row>
    <row r="16" spans="1:15" ht="18" customHeight="1" x14ac:dyDescent="0.3">
      <c r="A16" s="13" t="s">
        <v>131</v>
      </c>
      <c r="B16" s="14" t="s">
        <v>132</v>
      </c>
      <c r="C16" s="15" t="s">
        <v>34</v>
      </c>
      <c r="D16" s="16" t="s">
        <v>541</v>
      </c>
      <c r="E16" s="16" t="s">
        <v>541</v>
      </c>
      <c r="F16" s="16" t="s">
        <v>541</v>
      </c>
      <c r="G16" s="16" t="s">
        <v>541</v>
      </c>
      <c r="H16" s="16" t="s">
        <v>541</v>
      </c>
      <c r="I16" s="16" t="s">
        <v>541</v>
      </c>
      <c r="J16" s="16" t="s">
        <v>541</v>
      </c>
      <c r="K16" s="16" t="s">
        <v>541</v>
      </c>
      <c r="L16" s="16" t="s">
        <v>541</v>
      </c>
      <c r="M16" s="16" t="s">
        <v>541</v>
      </c>
      <c r="N16" s="16" t="s">
        <v>541</v>
      </c>
      <c r="O16" s="16" t="s">
        <v>541</v>
      </c>
    </row>
    <row r="17" spans="1:15" ht="18" customHeight="1" x14ac:dyDescent="0.3">
      <c r="A17" s="17" t="s">
        <v>140</v>
      </c>
      <c r="B17" s="18" t="s">
        <v>141</v>
      </c>
      <c r="C17" s="19" t="s">
        <v>34</v>
      </c>
      <c r="D17" s="16" t="s">
        <v>541</v>
      </c>
      <c r="E17" s="16" t="s">
        <v>541</v>
      </c>
      <c r="F17" s="16" t="s">
        <v>541</v>
      </c>
      <c r="G17" s="16" t="s">
        <v>541</v>
      </c>
      <c r="H17" s="16" t="s">
        <v>541</v>
      </c>
      <c r="I17" s="16" t="s">
        <v>541</v>
      </c>
      <c r="J17" s="16" t="s">
        <v>541</v>
      </c>
      <c r="K17" s="16" t="s">
        <v>541</v>
      </c>
      <c r="L17" s="16" t="s">
        <v>541</v>
      </c>
      <c r="M17" s="16" t="s">
        <v>541</v>
      </c>
      <c r="N17" s="16" t="s">
        <v>541</v>
      </c>
      <c r="O17" s="16" t="s">
        <v>541</v>
      </c>
    </row>
    <row r="18" spans="1:15" ht="18" customHeight="1" x14ac:dyDescent="0.3">
      <c r="A18" s="13" t="s">
        <v>150</v>
      </c>
      <c r="B18" s="14" t="s">
        <v>151</v>
      </c>
      <c r="C18" s="15" t="s">
        <v>34</v>
      </c>
      <c r="D18" s="16" t="s">
        <v>541</v>
      </c>
      <c r="E18" s="16" t="s">
        <v>541</v>
      </c>
      <c r="F18" s="16" t="s">
        <v>541</v>
      </c>
      <c r="G18" s="16" t="s">
        <v>541</v>
      </c>
      <c r="H18" s="16" t="s">
        <v>541</v>
      </c>
      <c r="I18" s="16" t="s">
        <v>541</v>
      </c>
      <c r="J18" s="16" t="s">
        <v>541</v>
      </c>
      <c r="K18" s="16" t="s">
        <v>541</v>
      </c>
      <c r="L18" s="16" t="s">
        <v>541</v>
      </c>
      <c r="M18" s="16" t="s">
        <v>541</v>
      </c>
      <c r="N18" s="16" t="s">
        <v>541</v>
      </c>
      <c r="O18" s="16" t="s">
        <v>541</v>
      </c>
    </row>
    <row r="19" spans="1:15" ht="18" customHeight="1" x14ac:dyDescent="0.3">
      <c r="A19" s="17" t="s">
        <v>159</v>
      </c>
      <c r="B19" s="18" t="s">
        <v>160</v>
      </c>
      <c r="C19" s="19" t="s">
        <v>34</v>
      </c>
      <c r="D19" s="16" t="s">
        <v>541</v>
      </c>
      <c r="E19" s="16" t="s">
        <v>541</v>
      </c>
      <c r="F19" s="16" t="s">
        <v>541</v>
      </c>
      <c r="G19" s="16" t="s">
        <v>541</v>
      </c>
      <c r="H19" s="16" t="s">
        <v>541</v>
      </c>
      <c r="I19" s="16" t="s">
        <v>541</v>
      </c>
      <c r="J19" s="16" t="s">
        <v>541</v>
      </c>
      <c r="K19" s="16" t="s">
        <v>541</v>
      </c>
      <c r="L19" s="16" t="s">
        <v>541</v>
      </c>
      <c r="M19" s="16" t="s">
        <v>541</v>
      </c>
      <c r="N19" s="16" t="s">
        <v>541</v>
      </c>
      <c r="O19" s="16" t="s">
        <v>541</v>
      </c>
    </row>
    <row r="20" spans="1:15" ht="18" customHeight="1" x14ac:dyDescent="0.3">
      <c r="A20" s="13" t="s">
        <v>167</v>
      </c>
      <c r="B20" s="14" t="s">
        <v>168</v>
      </c>
      <c r="C20" s="15" t="s">
        <v>34</v>
      </c>
      <c r="D20" s="16" t="s">
        <v>541</v>
      </c>
      <c r="E20" s="16" t="s">
        <v>541</v>
      </c>
      <c r="F20" s="16" t="s">
        <v>541</v>
      </c>
      <c r="G20" s="16" t="s">
        <v>541</v>
      </c>
      <c r="H20" s="16" t="s">
        <v>541</v>
      </c>
      <c r="I20" s="16" t="s">
        <v>541</v>
      </c>
      <c r="J20" s="16" t="s">
        <v>541</v>
      </c>
      <c r="K20" s="16" t="s">
        <v>541</v>
      </c>
      <c r="L20" s="16" t="s">
        <v>541</v>
      </c>
      <c r="M20" s="16" t="s">
        <v>541</v>
      </c>
      <c r="N20" s="16" t="s">
        <v>541</v>
      </c>
      <c r="O20" s="16" t="s">
        <v>541</v>
      </c>
    </row>
    <row r="21" spans="1:15" ht="18" customHeight="1" x14ac:dyDescent="0.3">
      <c r="A21" s="17" t="s">
        <v>176</v>
      </c>
      <c r="B21" s="18" t="s">
        <v>177</v>
      </c>
      <c r="C21" s="19" t="s">
        <v>34</v>
      </c>
      <c r="D21" s="16" t="s">
        <v>541</v>
      </c>
      <c r="E21" s="16" t="s">
        <v>541</v>
      </c>
      <c r="F21" s="16" t="s">
        <v>541</v>
      </c>
      <c r="G21" s="16" t="s">
        <v>541</v>
      </c>
      <c r="H21" s="16" t="s">
        <v>541</v>
      </c>
      <c r="I21" s="16" t="s">
        <v>541</v>
      </c>
      <c r="J21" s="16" t="s">
        <v>541</v>
      </c>
      <c r="K21" s="16" t="s">
        <v>541</v>
      </c>
      <c r="L21" s="16" t="s">
        <v>541</v>
      </c>
      <c r="M21" s="16" t="s">
        <v>541</v>
      </c>
      <c r="N21" s="16" t="s">
        <v>541</v>
      </c>
      <c r="O21" s="16" t="s">
        <v>541</v>
      </c>
    </row>
    <row r="22" spans="1:15" ht="18" customHeight="1" x14ac:dyDescent="0.3">
      <c r="A22" s="13" t="s">
        <v>185</v>
      </c>
      <c r="B22" s="14" t="s">
        <v>186</v>
      </c>
      <c r="C22" s="15" t="s">
        <v>34</v>
      </c>
      <c r="D22" s="16" t="s">
        <v>541</v>
      </c>
      <c r="E22" s="16" t="s">
        <v>541</v>
      </c>
      <c r="F22" s="16" t="s">
        <v>541</v>
      </c>
      <c r="G22" s="16" t="s">
        <v>541</v>
      </c>
      <c r="H22" s="16" t="s">
        <v>541</v>
      </c>
      <c r="I22" s="16" t="s">
        <v>541</v>
      </c>
      <c r="J22" s="16" t="s">
        <v>541</v>
      </c>
      <c r="K22" s="16" t="s">
        <v>541</v>
      </c>
      <c r="L22" s="16" t="s">
        <v>541</v>
      </c>
      <c r="M22" s="16" t="s">
        <v>541</v>
      </c>
      <c r="N22" s="16" t="s">
        <v>541</v>
      </c>
      <c r="O22" s="16" t="s">
        <v>541</v>
      </c>
    </row>
    <row r="23" spans="1:15" ht="18" customHeight="1" x14ac:dyDescent="0.3">
      <c r="A23" s="17" t="s">
        <v>194</v>
      </c>
      <c r="B23" s="18" t="s">
        <v>195</v>
      </c>
      <c r="C23" s="19" t="s">
        <v>34</v>
      </c>
      <c r="D23" s="16" t="s">
        <v>541</v>
      </c>
      <c r="E23" s="16" t="s">
        <v>541</v>
      </c>
      <c r="F23" s="16" t="s">
        <v>541</v>
      </c>
      <c r="G23" s="16" t="s">
        <v>541</v>
      </c>
      <c r="H23" s="16" t="s">
        <v>541</v>
      </c>
      <c r="I23" s="16" t="s">
        <v>541</v>
      </c>
      <c r="J23" s="16" t="s">
        <v>541</v>
      </c>
      <c r="K23" s="16" t="s">
        <v>541</v>
      </c>
      <c r="L23" s="16" t="s">
        <v>541</v>
      </c>
      <c r="M23" s="16" t="s">
        <v>541</v>
      </c>
      <c r="N23" s="16" t="s">
        <v>541</v>
      </c>
      <c r="O23" s="16" t="s">
        <v>541</v>
      </c>
    </row>
    <row r="24" spans="1:15" ht="18" customHeight="1" x14ac:dyDescent="0.3">
      <c r="A24" s="13" t="s">
        <v>202</v>
      </c>
      <c r="B24" s="14" t="s">
        <v>203</v>
      </c>
      <c r="C24" s="15" t="s">
        <v>34</v>
      </c>
      <c r="D24" s="16" t="s">
        <v>541</v>
      </c>
      <c r="E24" s="16" t="s">
        <v>541</v>
      </c>
      <c r="F24" s="16" t="s">
        <v>541</v>
      </c>
      <c r="G24" s="16" t="s">
        <v>541</v>
      </c>
      <c r="H24" s="16" t="s">
        <v>541</v>
      </c>
      <c r="I24" s="16" t="s">
        <v>541</v>
      </c>
      <c r="J24" s="16" t="s">
        <v>541</v>
      </c>
      <c r="K24" s="16" t="s">
        <v>541</v>
      </c>
      <c r="L24" s="16" t="s">
        <v>541</v>
      </c>
      <c r="M24" s="16" t="s">
        <v>541</v>
      </c>
      <c r="N24" s="16" t="s">
        <v>541</v>
      </c>
      <c r="O24" s="16" t="s">
        <v>541</v>
      </c>
    </row>
    <row r="25" spans="1:15" ht="18" customHeight="1" x14ac:dyDescent="0.3">
      <c r="A25" s="17" t="s">
        <v>210</v>
      </c>
      <c r="B25" s="18" t="s">
        <v>211</v>
      </c>
      <c r="C25" s="19" t="s">
        <v>34</v>
      </c>
      <c r="D25" s="16" t="s">
        <v>541</v>
      </c>
      <c r="E25" s="16" t="s">
        <v>541</v>
      </c>
      <c r="F25" s="16" t="s">
        <v>541</v>
      </c>
      <c r="G25" s="16" t="s">
        <v>541</v>
      </c>
      <c r="H25" s="16" t="s">
        <v>541</v>
      </c>
      <c r="I25" s="16" t="s">
        <v>541</v>
      </c>
      <c r="J25" s="16" t="s">
        <v>541</v>
      </c>
      <c r="K25" s="16" t="s">
        <v>541</v>
      </c>
      <c r="L25" s="16" t="s">
        <v>541</v>
      </c>
      <c r="M25" s="16" t="s">
        <v>541</v>
      </c>
      <c r="N25" s="16" t="s">
        <v>541</v>
      </c>
      <c r="O25" s="16" t="s">
        <v>541</v>
      </c>
    </row>
    <row r="26" spans="1:15" ht="18" customHeight="1" x14ac:dyDescent="0.3">
      <c r="A26" s="13" t="s">
        <v>219</v>
      </c>
      <c r="B26" s="14" t="s">
        <v>220</v>
      </c>
      <c r="C26" s="15" t="s">
        <v>34</v>
      </c>
      <c r="D26" s="16" t="s">
        <v>541</v>
      </c>
      <c r="E26" s="16" t="s">
        <v>541</v>
      </c>
      <c r="F26" s="16" t="s">
        <v>541</v>
      </c>
      <c r="G26" s="16" t="s">
        <v>541</v>
      </c>
      <c r="H26" s="16" t="s">
        <v>541</v>
      </c>
      <c r="I26" s="16" t="s">
        <v>541</v>
      </c>
      <c r="J26" s="16" t="s">
        <v>541</v>
      </c>
      <c r="K26" s="16" t="s">
        <v>541</v>
      </c>
      <c r="L26" s="16" t="s">
        <v>541</v>
      </c>
      <c r="M26" s="16" t="s">
        <v>541</v>
      </c>
      <c r="N26" s="16" t="s">
        <v>541</v>
      </c>
      <c r="O26" s="16" t="s">
        <v>541</v>
      </c>
    </row>
    <row r="27" spans="1:15" ht="18" customHeight="1" x14ac:dyDescent="0.3">
      <c r="A27" s="17" t="s">
        <v>226</v>
      </c>
      <c r="B27" s="18" t="s">
        <v>227</v>
      </c>
      <c r="C27" s="19" t="s">
        <v>22</v>
      </c>
      <c r="D27" s="16" t="s">
        <v>541</v>
      </c>
      <c r="E27" s="16" t="s">
        <v>541</v>
      </c>
      <c r="F27" s="16" t="s">
        <v>541</v>
      </c>
      <c r="G27" s="16" t="s">
        <v>541</v>
      </c>
      <c r="H27" s="16" t="s">
        <v>541</v>
      </c>
      <c r="I27" s="16" t="s">
        <v>541</v>
      </c>
      <c r="J27" s="16" t="s">
        <v>541</v>
      </c>
      <c r="K27" s="16" t="s">
        <v>541</v>
      </c>
      <c r="L27" s="16" t="s">
        <v>541</v>
      </c>
      <c r="M27" s="16" t="s">
        <v>541</v>
      </c>
      <c r="N27" s="16" t="s">
        <v>541</v>
      </c>
      <c r="O27" s="16" t="s">
        <v>541</v>
      </c>
    </row>
    <row r="28" spans="1:15" ht="18" customHeight="1" x14ac:dyDescent="0.3">
      <c r="A28" s="13" t="s">
        <v>235</v>
      </c>
      <c r="B28" s="14" t="s">
        <v>237</v>
      </c>
      <c r="C28" s="15" t="s">
        <v>34</v>
      </c>
      <c r="D28" s="16" t="s">
        <v>541</v>
      </c>
      <c r="E28" s="16" t="s">
        <v>541</v>
      </c>
      <c r="F28" s="16" t="s">
        <v>541</v>
      </c>
      <c r="G28" s="16" t="s">
        <v>541</v>
      </c>
      <c r="H28" s="16" t="s">
        <v>541</v>
      </c>
      <c r="I28" s="16" t="s">
        <v>541</v>
      </c>
      <c r="J28" s="16" t="s">
        <v>541</v>
      </c>
      <c r="K28" s="16" t="s">
        <v>541</v>
      </c>
      <c r="L28" s="16" t="s">
        <v>541</v>
      </c>
      <c r="M28" s="16" t="s">
        <v>541</v>
      </c>
      <c r="N28" s="16" t="s">
        <v>541</v>
      </c>
      <c r="O28" s="16" t="s">
        <v>541</v>
      </c>
    </row>
    <row r="29" spans="1:15" ht="18" customHeight="1" x14ac:dyDescent="0.3">
      <c r="A29" s="17" t="s">
        <v>244</v>
      </c>
      <c r="B29" s="18" t="s">
        <v>245</v>
      </c>
      <c r="C29" s="19" t="s">
        <v>250</v>
      </c>
      <c r="D29" s="16" t="s">
        <v>541</v>
      </c>
      <c r="E29" s="21"/>
      <c r="F29" s="16" t="s">
        <v>541</v>
      </c>
      <c r="G29" s="21"/>
      <c r="H29" s="16" t="s">
        <v>541</v>
      </c>
      <c r="I29" s="21"/>
      <c r="J29" s="16" t="s">
        <v>541</v>
      </c>
      <c r="K29" s="21"/>
      <c r="L29" s="16" t="s">
        <v>541</v>
      </c>
      <c r="M29" s="21"/>
      <c r="N29" s="16" t="s">
        <v>541</v>
      </c>
      <c r="O29" s="21"/>
    </row>
    <row r="30" spans="1:15" ht="18" customHeight="1" x14ac:dyDescent="0.3">
      <c r="A30" s="13" t="s">
        <v>254</v>
      </c>
      <c r="B30" s="14" t="s">
        <v>255</v>
      </c>
      <c r="C30" s="15" t="s">
        <v>259</v>
      </c>
      <c r="D30" s="20"/>
      <c r="E30" s="20"/>
      <c r="F30" s="16" t="s">
        <v>541</v>
      </c>
      <c r="G30" s="20"/>
      <c r="H30" s="20"/>
      <c r="I30" s="16" t="s">
        <v>541</v>
      </c>
      <c r="J30" s="20"/>
      <c r="K30" s="20"/>
      <c r="L30" s="16" t="s">
        <v>541</v>
      </c>
      <c r="M30" s="20"/>
      <c r="N30" s="20"/>
      <c r="O30" s="16" t="s">
        <v>541</v>
      </c>
    </row>
    <row r="31" spans="1:15" ht="18" customHeight="1" x14ac:dyDescent="0.3">
      <c r="A31" s="17" t="s">
        <v>263</v>
      </c>
      <c r="B31" s="18" t="s">
        <v>264</v>
      </c>
      <c r="C31" s="19" t="s">
        <v>68</v>
      </c>
      <c r="D31" s="21"/>
      <c r="E31" s="21"/>
      <c r="F31" s="21"/>
      <c r="G31" s="21"/>
      <c r="H31" s="21"/>
      <c r="I31" s="21"/>
      <c r="J31" s="21"/>
      <c r="K31" s="21"/>
      <c r="L31" s="21"/>
      <c r="M31" s="21"/>
      <c r="N31" s="16" t="s">
        <v>541</v>
      </c>
      <c r="O31" s="21"/>
    </row>
    <row r="32" spans="1:15" ht="18" customHeight="1" x14ac:dyDescent="0.3">
      <c r="A32" s="13" t="s">
        <v>274</v>
      </c>
      <c r="B32" s="14" t="s">
        <v>275</v>
      </c>
      <c r="C32" s="15" t="s">
        <v>279</v>
      </c>
      <c r="D32" s="16" t="s">
        <v>541</v>
      </c>
      <c r="E32" s="16" t="s">
        <v>541</v>
      </c>
      <c r="F32" s="16" t="s">
        <v>541</v>
      </c>
      <c r="G32" s="16" t="s">
        <v>541</v>
      </c>
      <c r="H32" s="16" t="s">
        <v>541</v>
      </c>
      <c r="I32" s="16" t="s">
        <v>541</v>
      </c>
      <c r="J32" s="16" t="s">
        <v>541</v>
      </c>
      <c r="K32" s="16" t="s">
        <v>541</v>
      </c>
      <c r="L32" s="16" t="s">
        <v>541</v>
      </c>
      <c r="M32" s="16" t="s">
        <v>541</v>
      </c>
      <c r="N32" s="16" t="s">
        <v>541</v>
      </c>
      <c r="O32" s="16" t="s">
        <v>541</v>
      </c>
    </row>
    <row r="33" spans="1:15" ht="18" customHeight="1" x14ac:dyDescent="0.3">
      <c r="A33" s="17" t="s">
        <v>283</v>
      </c>
      <c r="B33" s="18" t="s">
        <v>284</v>
      </c>
      <c r="C33" s="19" t="s">
        <v>68</v>
      </c>
      <c r="D33" s="21"/>
      <c r="E33" s="21"/>
      <c r="F33" s="21"/>
      <c r="G33" s="16" t="s">
        <v>541</v>
      </c>
      <c r="H33" s="21"/>
      <c r="I33" s="21"/>
      <c r="J33" s="21"/>
      <c r="K33" s="21"/>
      <c r="L33" s="21"/>
      <c r="M33" s="21"/>
      <c r="N33" s="21"/>
      <c r="O33" s="21"/>
    </row>
    <row r="34" spans="1:15" ht="18" customHeight="1" x14ac:dyDescent="0.3">
      <c r="A34" s="13" t="s">
        <v>293</v>
      </c>
      <c r="B34" s="14" t="s">
        <v>294</v>
      </c>
      <c r="C34" s="15" t="s">
        <v>259</v>
      </c>
      <c r="D34" s="20"/>
      <c r="E34" s="20"/>
      <c r="F34" s="16" t="s">
        <v>541</v>
      </c>
      <c r="G34" s="20"/>
      <c r="H34" s="20"/>
      <c r="I34" s="16" t="s">
        <v>541</v>
      </c>
      <c r="J34" s="20"/>
      <c r="K34" s="20"/>
      <c r="L34" s="16" t="s">
        <v>541</v>
      </c>
      <c r="M34" s="20"/>
      <c r="N34" s="20"/>
      <c r="O34" s="16" t="s">
        <v>541</v>
      </c>
    </row>
    <row r="35" spans="1:15" ht="18" customHeight="1" x14ac:dyDescent="0.3">
      <c r="A35" s="17" t="s">
        <v>303</v>
      </c>
      <c r="B35" s="18" t="s">
        <v>305</v>
      </c>
      <c r="C35" s="19" t="s">
        <v>68</v>
      </c>
      <c r="D35" s="21"/>
      <c r="E35" s="21"/>
      <c r="F35" s="21"/>
      <c r="G35" s="21"/>
      <c r="H35" s="21"/>
      <c r="I35" s="21"/>
      <c r="J35" s="21"/>
      <c r="K35" s="21"/>
      <c r="L35" s="21"/>
      <c r="M35" s="21"/>
      <c r="N35" s="16" t="s">
        <v>541</v>
      </c>
      <c r="O35" s="21"/>
    </row>
    <row r="36" spans="1:15" ht="18" customHeight="1" x14ac:dyDescent="0.3">
      <c r="A36" s="13" t="s">
        <v>314</v>
      </c>
      <c r="B36" s="14" t="s">
        <v>315</v>
      </c>
      <c r="C36" s="15" t="s">
        <v>319</v>
      </c>
      <c r="D36" s="20"/>
      <c r="E36" s="20"/>
      <c r="F36" s="20"/>
      <c r="G36" s="20"/>
      <c r="H36" s="20"/>
      <c r="I36" s="16" t="s">
        <v>541</v>
      </c>
      <c r="J36" s="20"/>
      <c r="K36" s="20"/>
      <c r="L36" s="20"/>
      <c r="M36" s="20"/>
      <c r="N36" s="20"/>
      <c r="O36" s="16" t="s">
        <v>541</v>
      </c>
    </row>
    <row r="37" spans="1:15" ht="18" customHeight="1" x14ac:dyDescent="0.3">
      <c r="A37" s="17" t="s">
        <v>324</v>
      </c>
      <c r="B37" s="18" t="s">
        <v>325</v>
      </c>
      <c r="C37" s="19" t="s">
        <v>259</v>
      </c>
      <c r="D37" s="21"/>
      <c r="E37" s="21"/>
      <c r="F37" s="16" t="s">
        <v>541</v>
      </c>
      <c r="G37" s="21"/>
      <c r="H37" s="21"/>
      <c r="I37" s="16" t="s">
        <v>541</v>
      </c>
      <c r="J37" s="21"/>
      <c r="K37" s="21"/>
      <c r="L37" s="16" t="s">
        <v>541</v>
      </c>
      <c r="M37" s="21"/>
      <c r="N37" s="21"/>
      <c r="O37" s="16" t="s">
        <v>541</v>
      </c>
    </row>
    <row r="38" spans="1:15" ht="18" customHeight="1" x14ac:dyDescent="0.3">
      <c r="A38" s="13" t="s">
        <v>331</v>
      </c>
      <c r="B38" s="14" t="s">
        <v>332</v>
      </c>
      <c r="C38" s="15" t="s">
        <v>68</v>
      </c>
      <c r="D38" s="20"/>
      <c r="E38" s="20"/>
      <c r="F38" s="20"/>
      <c r="G38" s="20"/>
      <c r="H38" s="20"/>
      <c r="I38" s="20"/>
      <c r="J38" s="20"/>
      <c r="K38" s="20"/>
      <c r="L38" s="16" t="s">
        <v>541</v>
      </c>
      <c r="M38" s="20"/>
      <c r="N38" s="20"/>
      <c r="O38" s="20"/>
    </row>
    <row r="39" spans="1:15" ht="18" customHeight="1" x14ac:dyDescent="0.3">
      <c r="A39" s="17" t="s">
        <v>338</v>
      </c>
      <c r="B39" s="18" t="s">
        <v>339</v>
      </c>
      <c r="C39" s="19" t="s">
        <v>259</v>
      </c>
      <c r="D39" s="21"/>
      <c r="E39" s="21"/>
      <c r="F39" s="16" t="s">
        <v>541</v>
      </c>
      <c r="G39" s="21"/>
      <c r="H39" s="21"/>
      <c r="I39" s="16" t="s">
        <v>541</v>
      </c>
      <c r="J39" s="21"/>
      <c r="K39" s="21"/>
      <c r="L39" s="16" t="s">
        <v>541</v>
      </c>
      <c r="M39" s="21"/>
      <c r="N39" s="21"/>
      <c r="O39" s="16" t="s">
        <v>541</v>
      </c>
    </row>
    <row r="40" spans="1:15" ht="18" customHeight="1" x14ac:dyDescent="0.3">
      <c r="A40" s="13" t="s">
        <v>347</v>
      </c>
      <c r="B40" s="14" t="s">
        <v>349</v>
      </c>
      <c r="C40" s="15" t="s">
        <v>259</v>
      </c>
      <c r="D40" s="20"/>
      <c r="E40" s="20"/>
      <c r="F40" s="16" t="s">
        <v>541</v>
      </c>
      <c r="G40" s="20"/>
      <c r="H40" s="20"/>
      <c r="I40" s="16" t="s">
        <v>541</v>
      </c>
      <c r="J40" s="20"/>
      <c r="K40" s="20"/>
      <c r="L40" s="16" t="s">
        <v>541</v>
      </c>
      <c r="M40" s="20"/>
      <c r="N40" s="20"/>
      <c r="O40" s="16" t="s">
        <v>541</v>
      </c>
    </row>
    <row r="41" spans="1:15" ht="18" customHeight="1" x14ac:dyDescent="0.3">
      <c r="A41" s="17" t="s">
        <v>355</v>
      </c>
      <c r="B41" s="18" t="s">
        <v>356</v>
      </c>
      <c r="C41" s="19" t="s">
        <v>34</v>
      </c>
      <c r="D41" s="16" t="s">
        <v>541</v>
      </c>
      <c r="E41" s="16" t="s">
        <v>541</v>
      </c>
      <c r="F41" s="16" t="s">
        <v>541</v>
      </c>
      <c r="G41" s="16" t="s">
        <v>541</v>
      </c>
      <c r="H41" s="16" t="s">
        <v>541</v>
      </c>
      <c r="I41" s="16" t="s">
        <v>541</v>
      </c>
      <c r="J41" s="16" t="s">
        <v>541</v>
      </c>
      <c r="K41" s="16" t="s">
        <v>541</v>
      </c>
      <c r="L41" s="16" t="s">
        <v>541</v>
      </c>
      <c r="M41" s="16" t="s">
        <v>541</v>
      </c>
      <c r="N41" s="16" t="s">
        <v>541</v>
      </c>
      <c r="O41" s="16" t="s">
        <v>541</v>
      </c>
    </row>
    <row r="42" spans="1:15" ht="18" customHeight="1" x14ac:dyDescent="0.3">
      <c r="A42" s="13" t="s">
        <v>363</v>
      </c>
      <c r="B42" s="14" t="s">
        <v>364</v>
      </c>
      <c r="C42" s="15" t="s">
        <v>68</v>
      </c>
      <c r="D42" s="20"/>
      <c r="E42" s="20"/>
      <c r="F42" s="20"/>
      <c r="G42" s="20"/>
      <c r="H42" s="20"/>
      <c r="I42" s="20"/>
      <c r="J42" s="20"/>
      <c r="K42" s="20"/>
      <c r="L42" s="20"/>
      <c r="M42" s="20"/>
      <c r="N42" s="16" t="s">
        <v>541</v>
      </c>
      <c r="O42" s="20"/>
    </row>
    <row r="43" spans="1:15" ht="18" customHeight="1" x14ac:dyDescent="0.3">
      <c r="A43" s="17" t="s">
        <v>370</v>
      </c>
      <c r="B43" s="18" t="s">
        <v>371</v>
      </c>
      <c r="C43" s="19" t="s">
        <v>34</v>
      </c>
      <c r="D43" s="16" t="s">
        <v>541</v>
      </c>
      <c r="E43" s="16" t="s">
        <v>541</v>
      </c>
      <c r="F43" s="16" t="s">
        <v>541</v>
      </c>
      <c r="G43" s="16" t="s">
        <v>541</v>
      </c>
      <c r="H43" s="16" t="s">
        <v>541</v>
      </c>
      <c r="I43" s="16" t="s">
        <v>541</v>
      </c>
      <c r="J43" s="16" t="s">
        <v>541</v>
      </c>
      <c r="K43" s="16" t="s">
        <v>541</v>
      </c>
      <c r="L43" s="16" t="s">
        <v>541</v>
      </c>
      <c r="M43" s="16" t="s">
        <v>541</v>
      </c>
      <c r="N43" s="16" t="s">
        <v>541</v>
      </c>
      <c r="O43" s="16" t="s">
        <v>541</v>
      </c>
    </row>
    <row r="44" spans="1:15" ht="18" customHeight="1" x14ac:dyDescent="0.3">
      <c r="A44" s="13" t="s">
        <v>378</v>
      </c>
      <c r="B44" s="14" t="s">
        <v>379</v>
      </c>
      <c r="C44" s="15" t="s">
        <v>68</v>
      </c>
      <c r="D44" s="20"/>
      <c r="E44" s="20"/>
      <c r="F44" s="20"/>
      <c r="G44" s="20"/>
      <c r="H44" s="20"/>
      <c r="I44" s="20"/>
      <c r="J44" s="20"/>
      <c r="K44" s="16" t="s">
        <v>541</v>
      </c>
      <c r="L44" s="16" t="s">
        <v>541</v>
      </c>
      <c r="M44" s="20"/>
      <c r="N44" s="20"/>
      <c r="O44" s="20"/>
    </row>
    <row r="45" spans="1:15" ht="18" customHeight="1" x14ac:dyDescent="0.3">
      <c r="A45" s="17" t="s">
        <v>388</v>
      </c>
      <c r="B45" s="18" t="s">
        <v>389</v>
      </c>
      <c r="C45" s="19" t="s">
        <v>68</v>
      </c>
      <c r="D45" s="16" t="s">
        <v>541</v>
      </c>
      <c r="E45" s="21"/>
      <c r="F45" s="21"/>
      <c r="G45" s="21"/>
      <c r="H45" s="21"/>
      <c r="I45" s="21"/>
      <c r="J45" s="21"/>
      <c r="K45" s="21"/>
      <c r="L45" s="21"/>
      <c r="M45" s="21"/>
      <c r="N45" s="21"/>
      <c r="O45" s="16" t="s">
        <v>541</v>
      </c>
    </row>
    <row r="46" spans="1:15" ht="18" customHeight="1" x14ac:dyDescent="0.3">
      <c r="A46" s="13" t="s">
        <v>396</v>
      </c>
      <c r="B46" s="14" t="s">
        <v>397</v>
      </c>
      <c r="C46" s="15" t="s">
        <v>34</v>
      </c>
      <c r="D46" s="16" t="s">
        <v>541</v>
      </c>
      <c r="E46" s="16" t="s">
        <v>541</v>
      </c>
      <c r="F46" s="16" t="s">
        <v>541</v>
      </c>
      <c r="G46" s="16" t="s">
        <v>541</v>
      </c>
      <c r="H46" s="16" t="s">
        <v>541</v>
      </c>
      <c r="I46" s="16" t="s">
        <v>541</v>
      </c>
      <c r="J46" s="16" t="s">
        <v>541</v>
      </c>
      <c r="K46" s="16" t="s">
        <v>541</v>
      </c>
      <c r="L46" s="16" t="s">
        <v>541</v>
      </c>
      <c r="M46" s="16" t="s">
        <v>541</v>
      </c>
      <c r="N46" s="16" t="s">
        <v>541</v>
      </c>
      <c r="O46" s="16" t="s">
        <v>541</v>
      </c>
    </row>
    <row r="47" spans="1:15" ht="18" customHeight="1" x14ac:dyDescent="0.3">
      <c r="A47" s="17" t="s">
        <v>404</v>
      </c>
      <c r="B47" s="18" t="s">
        <v>405</v>
      </c>
      <c r="C47" s="19" t="s">
        <v>409</v>
      </c>
      <c r="D47" s="16" t="s">
        <v>541</v>
      </c>
      <c r="E47" s="16" t="s">
        <v>541</v>
      </c>
      <c r="F47" s="16" t="s">
        <v>541</v>
      </c>
      <c r="G47" s="16" t="s">
        <v>541</v>
      </c>
      <c r="H47" s="16" t="s">
        <v>541</v>
      </c>
      <c r="I47" s="16" t="s">
        <v>541</v>
      </c>
      <c r="J47" s="16" t="s">
        <v>541</v>
      </c>
      <c r="K47" s="16" t="s">
        <v>541</v>
      </c>
      <c r="L47" s="16" t="s">
        <v>541</v>
      </c>
      <c r="M47" s="16" t="s">
        <v>541</v>
      </c>
      <c r="N47" s="16" t="s">
        <v>541</v>
      </c>
      <c r="O47" s="16" t="s">
        <v>541</v>
      </c>
    </row>
    <row r="48" spans="1:15" ht="18" customHeight="1" x14ac:dyDescent="0.3">
      <c r="A48" s="13" t="s">
        <v>414</v>
      </c>
      <c r="B48" s="14" t="s">
        <v>416</v>
      </c>
      <c r="C48" s="15" t="s">
        <v>68</v>
      </c>
      <c r="D48" s="16" t="s">
        <v>541</v>
      </c>
      <c r="E48" s="20"/>
      <c r="F48" s="20"/>
      <c r="G48" s="20"/>
      <c r="H48" s="20"/>
      <c r="I48" s="20"/>
      <c r="J48" s="20"/>
      <c r="K48" s="20"/>
      <c r="L48" s="20"/>
      <c r="M48" s="20"/>
      <c r="N48" s="20"/>
      <c r="O48" s="20"/>
    </row>
    <row r="49" spans="1:15" ht="18" customHeight="1" x14ac:dyDescent="0.3">
      <c r="A49" s="17" t="s">
        <v>423</v>
      </c>
      <c r="B49" s="18" t="s">
        <v>424</v>
      </c>
      <c r="C49" s="19" t="s">
        <v>319</v>
      </c>
      <c r="D49" s="21"/>
      <c r="E49" s="21"/>
      <c r="F49" s="21"/>
      <c r="G49" s="21"/>
      <c r="H49" s="21"/>
      <c r="I49" s="21"/>
      <c r="J49" s="16" t="s">
        <v>541</v>
      </c>
      <c r="K49" s="21"/>
      <c r="L49" s="21"/>
      <c r="M49" s="21"/>
      <c r="N49" s="21"/>
      <c r="O49" s="21"/>
    </row>
    <row r="50" spans="1:15" ht="18" customHeight="1" x14ac:dyDescent="0.3">
      <c r="A50" s="13" t="s">
        <v>430</v>
      </c>
      <c r="B50" s="14" t="s">
        <v>431</v>
      </c>
      <c r="C50" s="15" t="s">
        <v>319</v>
      </c>
      <c r="D50" s="20"/>
      <c r="E50" s="20"/>
      <c r="F50" s="16" t="s">
        <v>541</v>
      </c>
      <c r="G50" s="20"/>
      <c r="H50" s="20"/>
      <c r="I50" s="16" t="s">
        <v>541</v>
      </c>
      <c r="J50" s="20"/>
      <c r="K50" s="16" t="s">
        <v>541</v>
      </c>
      <c r="L50" s="20"/>
      <c r="M50" s="20"/>
      <c r="N50" s="20"/>
      <c r="O50" s="20"/>
    </row>
    <row r="51" spans="1:15" ht="18" customHeight="1" x14ac:dyDescent="0.3">
      <c r="A51" s="17" t="s">
        <v>440</v>
      </c>
      <c r="B51" s="18" t="s">
        <v>441</v>
      </c>
      <c r="C51" s="19" t="s">
        <v>319</v>
      </c>
      <c r="D51" s="16" t="s">
        <v>541</v>
      </c>
      <c r="E51" s="16" t="s">
        <v>541</v>
      </c>
      <c r="F51" s="21"/>
      <c r="G51" s="21"/>
      <c r="H51" s="21"/>
      <c r="I51" s="16" t="s">
        <v>541</v>
      </c>
      <c r="J51" s="21"/>
      <c r="K51" s="21"/>
      <c r="L51" s="21"/>
      <c r="M51" s="21"/>
      <c r="N51" s="16" t="s">
        <v>541</v>
      </c>
      <c r="O51" s="21"/>
    </row>
    <row r="52" spans="1:15" ht="18" customHeight="1" x14ac:dyDescent="0.3">
      <c r="A52" s="13" t="s">
        <v>449</v>
      </c>
      <c r="B52" s="14" t="s">
        <v>450</v>
      </c>
      <c r="C52" s="15" t="s">
        <v>34</v>
      </c>
      <c r="D52" s="16" t="s">
        <v>541</v>
      </c>
      <c r="E52" s="16" t="s">
        <v>541</v>
      </c>
      <c r="F52" s="16" t="s">
        <v>541</v>
      </c>
      <c r="G52" s="16" t="s">
        <v>541</v>
      </c>
      <c r="H52" s="16" t="s">
        <v>541</v>
      </c>
      <c r="I52" s="16" t="s">
        <v>541</v>
      </c>
      <c r="J52" s="16" t="s">
        <v>541</v>
      </c>
      <c r="K52" s="16" t="s">
        <v>541</v>
      </c>
      <c r="L52" s="16" t="s">
        <v>541</v>
      </c>
      <c r="M52" s="16" t="s">
        <v>541</v>
      </c>
      <c r="N52" s="16" t="s">
        <v>541</v>
      </c>
      <c r="O52" s="16" t="s">
        <v>541</v>
      </c>
    </row>
    <row r="53" spans="1:15" ht="18" customHeight="1" x14ac:dyDescent="0.3">
      <c r="A53" s="17" t="s">
        <v>457</v>
      </c>
      <c r="B53" s="18" t="s">
        <v>459</v>
      </c>
      <c r="C53" s="19" t="s">
        <v>34</v>
      </c>
      <c r="D53" s="16" t="s">
        <v>541</v>
      </c>
      <c r="E53" s="16" t="s">
        <v>541</v>
      </c>
      <c r="F53" s="16" t="s">
        <v>541</v>
      </c>
      <c r="G53" s="16" t="s">
        <v>541</v>
      </c>
      <c r="H53" s="16" t="s">
        <v>541</v>
      </c>
      <c r="I53" s="16" t="s">
        <v>541</v>
      </c>
      <c r="J53" s="16" t="s">
        <v>541</v>
      </c>
      <c r="K53" s="16" t="s">
        <v>541</v>
      </c>
      <c r="L53" s="16" t="s">
        <v>541</v>
      </c>
      <c r="M53" s="16" t="s">
        <v>541</v>
      </c>
      <c r="N53" s="16" t="s">
        <v>541</v>
      </c>
      <c r="O53" s="16" t="s">
        <v>541</v>
      </c>
    </row>
    <row r="54" spans="1:15" ht="18" customHeight="1" x14ac:dyDescent="0.3">
      <c r="A54" s="13" t="s">
        <v>466</v>
      </c>
      <c r="B54" s="14" t="s">
        <v>467</v>
      </c>
      <c r="C54" s="15" t="s">
        <v>34</v>
      </c>
      <c r="D54" s="16" t="s">
        <v>541</v>
      </c>
      <c r="E54" s="16" t="s">
        <v>541</v>
      </c>
      <c r="F54" s="16" t="s">
        <v>541</v>
      </c>
      <c r="G54" s="16" t="s">
        <v>541</v>
      </c>
      <c r="H54" s="16" t="s">
        <v>541</v>
      </c>
      <c r="I54" s="16" t="s">
        <v>541</v>
      </c>
      <c r="J54" s="16" t="s">
        <v>541</v>
      </c>
      <c r="K54" s="16" t="s">
        <v>541</v>
      </c>
      <c r="L54" s="16" t="s">
        <v>541</v>
      </c>
      <c r="M54" s="16" t="s">
        <v>541</v>
      </c>
      <c r="N54" s="16" t="s">
        <v>541</v>
      </c>
      <c r="O54" s="16" t="s">
        <v>541</v>
      </c>
    </row>
    <row r="55" spans="1:15" ht="18" customHeight="1" x14ac:dyDescent="0.3">
      <c r="A55" s="17" t="s">
        <v>474</v>
      </c>
      <c r="B55" s="18" t="s">
        <v>475</v>
      </c>
      <c r="C55" s="19" t="s">
        <v>259</v>
      </c>
      <c r="D55" s="21"/>
      <c r="E55" s="21"/>
      <c r="F55" s="16" t="s">
        <v>541</v>
      </c>
      <c r="G55" s="21"/>
      <c r="H55" s="21"/>
      <c r="I55" s="16" t="s">
        <v>541</v>
      </c>
      <c r="J55" s="21"/>
      <c r="K55" s="21"/>
      <c r="L55" s="16" t="s">
        <v>541</v>
      </c>
      <c r="M55" s="21"/>
      <c r="N55" s="21"/>
      <c r="O55" s="16" t="s">
        <v>541</v>
      </c>
    </row>
    <row r="56" spans="1:15" ht="18" customHeight="1" x14ac:dyDescent="0.3">
      <c r="A56" s="13" t="s">
        <v>483</v>
      </c>
      <c r="B56" s="14" t="s">
        <v>484</v>
      </c>
      <c r="C56" s="15" t="s">
        <v>34</v>
      </c>
      <c r="D56" s="16" t="s">
        <v>541</v>
      </c>
      <c r="E56" s="16" t="s">
        <v>541</v>
      </c>
      <c r="F56" s="16" t="s">
        <v>541</v>
      </c>
      <c r="G56" s="16" t="s">
        <v>541</v>
      </c>
      <c r="H56" s="16" t="s">
        <v>541</v>
      </c>
      <c r="I56" s="16" t="s">
        <v>541</v>
      </c>
      <c r="J56" s="16" t="s">
        <v>541</v>
      </c>
      <c r="K56" s="16" t="s">
        <v>541</v>
      </c>
      <c r="L56" s="16" t="s">
        <v>541</v>
      </c>
      <c r="M56" s="16" t="s">
        <v>541</v>
      </c>
      <c r="N56" s="16" t="s">
        <v>541</v>
      </c>
      <c r="O56" s="16" t="s">
        <v>541</v>
      </c>
    </row>
    <row r="57" spans="1:15" ht="18" customHeight="1" x14ac:dyDescent="0.3">
      <c r="A57" s="17" t="s">
        <v>491</v>
      </c>
      <c r="B57" s="18" t="s">
        <v>492</v>
      </c>
      <c r="C57" s="19" t="s">
        <v>34</v>
      </c>
      <c r="D57" s="16" t="s">
        <v>541</v>
      </c>
      <c r="E57" s="16" t="s">
        <v>541</v>
      </c>
      <c r="F57" s="16" t="s">
        <v>541</v>
      </c>
      <c r="G57" s="16" t="s">
        <v>541</v>
      </c>
      <c r="H57" s="16" t="s">
        <v>541</v>
      </c>
      <c r="I57" s="16" t="s">
        <v>541</v>
      </c>
      <c r="J57" s="16" t="s">
        <v>541</v>
      </c>
      <c r="K57" s="16" t="s">
        <v>541</v>
      </c>
      <c r="L57" s="16" t="s">
        <v>541</v>
      </c>
      <c r="M57" s="16" t="s">
        <v>541</v>
      </c>
      <c r="N57" s="16" t="s">
        <v>541</v>
      </c>
      <c r="O57" s="16" t="s">
        <v>541</v>
      </c>
    </row>
    <row r="58" spans="1:15" ht="18" customHeight="1" x14ac:dyDescent="0.3">
      <c r="A58" s="13" t="s">
        <v>499</v>
      </c>
      <c r="B58" s="14" t="s">
        <v>500</v>
      </c>
      <c r="C58" s="15" t="s">
        <v>34</v>
      </c>
      <c r="D58" s="16" t="s">
        <v>541</v>
      </c>
      <c r="E58" s="16" t="s">
        <v>541</v>
      </c>
      <c r="F58" s="16" t="s">
        <v>541</v>
      </c>
      <c r="G58" s="16" t="s">
        <v>541</v>
      </c>
      <c r="H58" s="16" t="s">
        <v>541</v>
      </c>
      <c r="I58" s="16" t="s">
        <v>541</v>
      </c>
      <c r="J58" s="16" t="s">
        <v>541</v>
      </c>
      <c r="K58" s="16" t="s">
        <v>541</v>
      </c>
      <c r="L58" s="16" t="s">
        <v>541</v>
      </c>
      <c r="M58" s="16" t="s">
        <v>541</v>
      </c>
      <c r="N58" s="16" t="s">
        <v>541</v>
      </c>
      <c r="O58" s="16" t="s">
        <v>541</v>
      </c>
    </row>
    <row r="59" spans="1:15" ht="18" customHeight="1" x14ac:dyDescent="0.3">
      <c r="A59" s="17" t="s">
        <v>508</v>
      </c>
      <c r="B59" s="18" t="s">
        <v>509</v>
      </c>
      <c r="C59" s="19" t="s">
        <v>319</v>
      </c>
      <c r="D59" s="16" t="s">
        <v>541</v>
      </c>
      <c r="E59" s="16" t="s">
        <v>541</v>
      </c>
      <c r="F59" s="16" t="s">
        <v>541</v>
      </c>
      <c r="G59" s="16" t="s">
        <v>541</v>
      </c>
      <c r="H59" s="16" t="s">
        <v>541</v>
      </c>
      <c r="I59" s="16" t="s">
        <v>541</v>
      </c>
      <c r="J59" s="16" t="s">
        <v>541</v>
      </c>
      <c r="K59" s="16" t="s">
        <v>541</v>
      </c>
      <c r="L59" s="16" t="s">
        <v>541</v>
      </c>
      <c r="M59" s="16" t="s">
        <v>541</v>
      </c>
      <c r="N59" s="16" t="s">
        <v>541</v>
      </c>
      <c r="O59" s="16" t="s">
        <v>541</v>
      </c>
    </row>
    <row r="60" spans="1:15" ht="18" customHeight="1" x14ac:dyDescent="0.3">
      <c r="A60" s="13" t="s">
        <v>516</v>
      </c>
      <c r="B60" s="14" t="s">
        <v>517</v>
      </c>
      <c r="C60" s="15" t="s">
        <v>319</v>
      </c>
      <c r="D60" s="20"/>
      <c r="E60" s="20"/>
      <c r="F60" s="20"/>
      <c r="G60" s="20"/>
      <c r="H60" s="16" t="s">
        <v>541</v>
      </c>
      <c r="I60" s="16" t="s">
        <v>541</v>
      </c>
      <c r="J60" s="16" t="s">
        <v>541</v>
      </c>
      <c r="K60" s="16" t="s">
        <v>541</v>
      </c>
      <c r="L60" s="16" t="s">
        <v>541</v>
      </c>
      <c r="M60" s="20"/>
      <c r="N60" s="20"/>
      <c r="O60" s="20"/>
    </row>
    <row r="62" spans="1:15" x14ac:dyDescent="0.3">
      <c r="A62" s="22" t="s">
        <v>542</v>
      </c>
    </row>
    <row r="64" spans="1:15" x14ac:dyDescent="0.3">
      <c r="A64" s="23" t="s">
        <v>543</v>
      </c>
    </row>
    <row r="65" spans="1:15" ht="27.75" customHeight="1" x14ac:dyDescent="0.3">
      <c r="A65" s="24" t="s">
        <v>544</v>
      </c>
      <c r="B65" s="44" t="s">
        <v>545</v>
      </c>
      <c r="C65" s="44"/>
      <c r="D65" s="44"/>
      <c r="E65" s="44"/>
      <c r="F65" s="44"/>
      <c r="G65" s="44"/>
      <c r="H65" s="44"/>
      <c r="I65" s="44"/>
      <c r="J65" s="44"/>
      <c r="K65" s="44"/>
      <c r="L65" s="44"/>
      <c r="M65" s="44"/>
      <c r="N65" s="44"/>
      <c r="O65" s="44"/>
    </row>
    <row r="66" spans="1:15" ht="27.75" customHeight="1" x14ac:dyDescent="0.3">
      <c r="A66" s="24" t="s">
        <v>546</v>
      </c>
      <c r="B66" s="44" t="s">
        <v>547</v>
      </c>
      <c r="C66" s="44"/>
      <c r="D66" s="44"/>
      <c r="E66" s="44"/>
      <c r="F66" s="44"/>
      <c r="G66" s="44"/>
      <c r="H66" s="44"/>
      <c r="I66" s="44"/>
      <c r="J66" s="44"/>
      <c r="K66" s="44"/>
      <c r="L66" s="44"/>
      <c r="M66" s="44"/>
      <c r="N66" s="44"/>
      <c r="O66" s="44"/>
    </row>
    <row r="67" spans="1:15" ht="27.75" customHeight="1" x14ac:dyDescent="0.3">
      <c r="A67" s="24" t="s">
        <v>548</v>
      </c>
      <c r="B67" s="44" t="s">
        <v>549</v>
      </c>
      <c r="C67" s="44"/>
      <c r="D67" s="44"/>
      <c r="E67" s="44"/>
      <c r="F67" s="44"/>
      <c r="G67" s="44"/>
      <c r="H67" s="44"/>
      <c r="I67" s="44"/>
      <c r="J67" s="44"/>
      <c r="K67" s="44"/>
      <c r="L67" s="44"/>
      <c r="M67" s="44"/>
      <c r="N67" s="44"/>
      <c r="O67" s="44"/>
    </row>
    <row r="68" spans="1:15" ht="27.75" customHeight="1" x14ac:dyDescent="0.3">
      <c r="A68" s="24" t="s">
        <v>550</v>
      </c>
      <c r="B68" s="44" t="s">
        <v>551</v>
      </c>
      <c r="C68" s="44"/>
      <c r="D68" s="44"/>
      <c r="E68" s="44"/>
      <c r="F68" s="44"/>
      <c r="G68" s="44"/>
      <c r="H68" s="44"/>
      <c r="I68" s="44"/>
      <c r="J68" s="44"/>
      <c r="K68" s="44"/>
      <c r="L68" s="44"/>
      <c r="M68" s="44"/>
      <c r="N68" s="44"/>
      <c r="O68" s="44"/>
    </row>
    <row r="69" spans="1:15" ht="27.75" customHeight="1" x14ac:dyDescent="0.3">
      <c r="A69" s="24" t="s">
        <v>22</v>
      </c>
      <c r="B69" s="44" t="s">
        <v>552</v>
      </c>
      <c r="C69" s="44"/>
      <c r="D69" s="44"/>
      <c r="E69" s="44"/>
      <c r="F69" s="44"/>
      <c r="G69" s="44"/>
      <c r="H69" s="44"/>
      <c r="I69" s="44"/>
      <c r="J69" s="44"/>
      <c r="K69" s="44"/>
      <c r="L69" s="44"/>
      <c r="M69" s="44"/>
      <c r="N69" s="44"/>
      <c r="O69" s="44"/>
    </row>
    <row r="70" spans="1:15" ht="27.75" customHeight="1" x14ac:dyDescent="0.3">
      <c r="A70" s="24" t="s">
        <v>94</v>
      </c>
      <c r="B70" s="44" t="s">
        <v>553</v>
      </c>
      <c r="C70" s="44"/>
      <c r="D70" s="44"/>
      <c r="E70" s="44"/>
      <c r="F70" s="44"/>
      <c r="G70" s="44"/>
      <c r="H70" s="44"/>
      <c r="I70" s="44"/>
      <c r="J70" s="44"/>
      <c r="K70" s="44"/>
      <c r="L70" s="44"/>
      <c r="M70" s="44"/>
      <c r="N70" s="44"/>
      <c r="O70" s="44"/>
    </row>
  </sheetData>
  <mergeCells count="8">
    <mergeCell ref="B68:O68"/>
    <mergeCell ref="B69:O69"/>
    <mergeCell ref="B70:O70"/>
    <mergeCell ref="A1:O1"/>
    <mergeCell ref="A2:O2"/>
    <mergeCell ref="B65:O65"/>
    <mergeCell ref="B66:O66"/>
    <mergeCell ref="B67:O6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showGridLines="0" zoomScaleNormal="100" workbookViewId="0"/>
  </sheetViews>
  <sheetFormatPr defaultColWidth="8.6640625" defaultRowHeight="14.4" x14ac:dyDescent="0.3"/>
  <cols>
    <col min="1" max="1" width="34" customWidth="1"/>
    <col min="2" max="2" width="104" customWidth="1"/>
  </cols>
  <sheetData>
    <row r="1" spans="1:2" ht="21.75" customHeight="1" x14ac:dyDescent="0.3">
      <c r="A1" s="41" t="s">
        <v>554</v>
      </c>
      <c r="B1" s="41"/>
    </row>
    <row r="2" spans="1:2" ht="25.5" customHeight="1" x14ac:dyDescent="0.3">
      <c r="A2" s="42" t="s">
        <v>555</v>
      </c>
      <c r="B2" s="42"/>
    </row>
    <row r="4" spans="1:2" x14ac:dyDescent="0.3">
      <c r="A4" s="23" t="s">
        <v>556</v>
      </c>
    </row>
    <row r="5" spans="1:2" ht="25.5" customHeight="1" x14ac:dyDescent="0.3">
      <c r="A5" s="25" t="s">
        <v>49</v>
      </c>
      <c r="B5" s="1" t="s">
        <v>557</v>
      </c>
    </row>
    <row r="6" spans="1:2" ht="25.5" customHeight="1" x14ac:dyDescent="0.3">
      <c r="A6" s="25" t="s">
        <v>558</v>
      </c>
      <c r="B6" s="1" t="s">
        <v>559</v>
      </c>
    </row>
    <row r="7" spans="1:2" ht="25.5" customHeight="1" x14ac:dyDescent="0.3">
      <c r="A7" s="25" t="s">
        <v>560</v>
      </c>
      <c r="B7" s="1" t="s">
        <v>561</v>
      </c>
    </row>
    <row r="8" spans="1:2" ht="25.5" customHeight="1" x14ac:dyDescent="0.3">
      <c r="A8" s="25" t="s">
        <v>562</v>
      </c>
      <c r="B8" s="1" t="s">
        <v>563</v>
      </c>
    </row>
    <row r="9" spans="1:2" ht="25.5" customHeight="1" x14ac:dyDescent="0.3">
      <c r="A9" s="25" t="s">
        <v>289</v>
      </c>
      <c r="B9" s="1" t="s">
        <v>564</v>
      </c>
    </row>
    <row r="10" spans="1:2" ht="13.5" customHeight="1" x14ac:dyDescent="0.3">
      <c r="A10" s="25" t="s">
        <v>565</v>
      </c>
      <c r="B10" s="1" t="s">
        <v>566</v>
      </c>
    </row>
    <row r="11" spans="1:2" ht="25.5" customHeight="1" x14ac:dyDescent="0.3">
      <c r="A11" s="25" t="s">
        <v>567</v>
      </c>
      <c r="B11" s="1" t="s">
        <v>568</v>
      </c>
    </row>
    <row r="13" spans="1:2" x14ac:dyDescent="0.3">
      <c r="A13" s="23" t="s">
        <v>569</v>
      </c>
    </row>
    <row r="14" spans="1:2" ht="25.5" customHeight="1" x14ac:dyDescent="0.3">
      <c r="A14" s="25" t="s">
        <v>570</v>
      </c>
      <c r="B14" s="1" t="s">
        <v>571</v>
      </c>
    </row>
    <row r="15" spans="1:2" ht="25.5" customHeight="1" x14ac:dyDescent="0.3">
      <c r="A15" s="25" t="s">
        <v>572</v>
      </c>
      <c r="B15" s="1" t="s">
        <v>573</v>
      </c>
    </row>
    <row r="16" spans="1:2" ht="25.5" customHeight="1" x14ac:dyDescent="0.3">
      <c r="A16" s="25" t="s">
        <v>574</v>
      </c>
      <c r="B16" s="1" t="s">
        <v>575</v>
      </c>
    </row>
    <row r="17" spans="1:2" ht="25.5" customHeight="1" x14ac:dyDescent="0.3">
      <c r="A17" s="25" t="s">
        <v>576</v>
      </c>
      <c r="B17" s="1" t="s">
        <v>577</v>
      </c>
    </row>
    <row r="18" spans="1:2" ht="25.5" customHeight="1" x14ac:dyDescent="0.3">
      <c r="A18" s="25" t="s">
        <v>578</v>
      </c>
      <c r="B18" s="1" t="s">
        <v>579</v>
      </c>
    </row>
    <row r="19" spans="1:2" ht="25.5" customHeight="1" x14ac:dyDescent="0.3">
      <c r="A19" s="25" t="s">
        <v>580</v>
      </c>
      <c r="B19" s="1" t="s">
        <v>581</v>
      </c>
    </row>
    <row r="21" spans="1:2" x14ac:dyDescent="0.3">
      <c r="A21" s="23" t="s">
        <v>582</v>
      </c>
    </row>
    <row r="22" spans="1:2" ht="25.5" customHeight="1" x14ac:dyDescent="0.3">
      <c r="A22" s="25" t="s">
        <v>583</v>
      </c>
      <c r="B22" s="1" t="s">
        <v>584</v>
      </c>
    </row>
    <row r="23" spans="1:2" ht="13.5" customHeight="1" x14ac:dyDescent="0.3">
      <c r="A23" s="25" t="s">
        <v>585</v>
      </c>
      <c r="B23" s="1" t="s">
        <v>586</v>
      </c>
    </row>
    <row r="24" spans="1:2" ht="13.5" customHeight="1" x14ac:dyDescent="0.3">
      <c r="A24" s="25" t="s">
        <v>587</v>
      </c>
      <c r="B24" s="1" t="s">
        <v>588</v>
      </c>
    </row>
    <row r="25" spans="1:2" ht="25.5" customHeight="1" x14ac:dyDescent="0.3">
      <c r="A25" s="25" t="s">
        <v>589</v>
      </c>
      <c r="B25" s="1" t="s">
        <v>590</v>
      </c>
    </row>
    <row r="26" spans="1:2" ht="25.5" customHeight="1" x14ac:dyDescent="0.3">
      <c r="A26" s="25" t="s">
        <v>591</v>
      </c>
      <c r="B26" s="1" t="s">
        <v>592</v>
      </c>
    </row>
    <row r="28" spans="1:2" x14ac:dyDescent="0.3">
      <c r="A28" s="23" t="s">
        <v>593</v>
      </c>
    </row>
    <row r="29" spans="1:2" ht="13.5" customHeight="1" x14ac:dyDescent="0.3">
      <c r="A29" s="25" t="s">
        <v>594</v>
      </c>
      <c r="B29" s="1" t="s">
        <v>595</v>
      </c>
    </row>
    <row r="30" spans="1:2" ht="13.5" customHeight="1" x14ac:dyDescent="0.3">
      <c r="A30" s="25" t="s">
        <v>596</v>
      </c>
      <c r="B30" s="1" t="s">
        <v>597</v>
      </c>
    </row>
    <row r="31" spans="1:2" ht="25.5" customHeight="1" x14ac:dyDescent="0.3">
      <c r="A31" s="25" t="s">
        <v>598</v>
      </c>
      <c r="B31" s="1" t="s">
        <v>599</v>
      </c>
    </row>
    <row r="32" spans="1:2" ht="25.5" customHeight="1" x14ac:dyDescent="0.3">
      <c r="A32" s="25" t="s">
        <v>600</v>
      </c>
      <c r="B32" s="1" t="s">
        <v>601</v>
      </c>
    </row>
    <row r="33" spans="1:2" ht="25.5" customHeight="1" x14ac:dyDescent="0.3">
      <c r="A33" s="25" t="s">
        <v>602</v>
      </c>
      <c r="B33" s="1" t="s">
        <v>603</v>
      </c>
    </row>
    <row r="34" spans="1:2" ht="25.5" customHeight="1" x14ac:dyDescent="0.3">
      <c r="A34" s="25" t="s">
        <v>604</v>
      </c>
      <c r="B34" s="1" t="s">
        <v>605</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6"/>
  <sheetViews>
    <sheetView showGridLines="0" topLeftCell="A11" zoomScaleNormal="100" workbookViewId="0">
      <selection activeCell="B31" sqref="B31"/>
    </sheetView>
  </sheetViews>
  <sheetFormatPr defaultColWidth="8.6640625" defaultRowHeight="14.4" x14ac:dyDescent="0.3"/>
  <cols>
    <col min="1" max="1" width="46" customWidth="1"/>
    <col min="2" max="2" width="14" customWidth="1"/>
  </cols>
  <sheetData>
    <row r="1" spans="1:2" ht="21.75" customHeight="1" x14ac:dyDescent="0.3">
      <c r="A1" s="41" t="s">
        <v>606</v>
      </c>
      <c r="B1" s="41"/>
    </row>
    <row r="2" spans="1:2" ht="25.5" customHeight="1" x14ac:dyDescent="0.3">
      <c r="A2" s="42" t="s">
        <v>607</v>
      </c>
      <c r="B2" s="42"/>
    </row>
    <row r="4" spans="1:2" x14ac:dyDescent="0.3">
      <c r="A4" s="23" t="s">
        <v>608</v>
      </c>
    </row>
    <row r="5" spans="1:2" x14ac:dyDescent="0.3">
      <c r="A5" s="26" t="s">
        <v>22</v>
      </c>
      <c r="B5" s="27">
        <f>COUNTIF('Work Plan'!$H$5:$H$61,A5)</f>
        <v>2</v>
      </c>
    </row>
    <row r="6" spans="1:2" x14ac:dyDescent="0.3">
      <c r="A6" s="26" t="s">
        <v>34</v>
      </c>
      <c r="B6" s="27">
        <f>COUNTIF('Work Plan'!$H$5:$H$61,A6)</f>
        <v>28</v>
      </c>
    </row>
    <row r="7" spans="1:2" x14ac:dyDescent="0.3">
      <c r="A7" s="26" t="s">
        <v>250</v>
      </c>
      <c r="B7" s="27">
        <f>COUNTIF('Work Plan'!$H$5:$H$61,A7)</f>
        <v>1</v>
      </c>
    </row>
    <row r="8" spans="1:2" x14ac:dyDescent="0.3">
      <c r="A8" s="26" t="s">
        <v>259</v>
      </c>
      <c r="B8" s="27">
        <f>COUNTIF('Work Plan'!$H$5:$H$61,A8)</f>
        <v>6</v>
      </c>
    </row>
    <row r="9" spans="1:2" x14ac:dyDescent="0.3">
      <c r="A9" s="26" t="s">
        <v>68</v>
      </c>
      <c r="B9" s="27">
        <f>COUNTIF('Work Plan'!$H$5:$H$61,A9)</f>
        <v>9</v>
      </c>
    </row>
    <row r="10" spans="1:2" x14ac:dyDescent="0.3">
      <c r="A10" s="26" t="s">
        <v>319</v>
      </c>
      <c r="B10" s="27">
        <f>COUNTIF('Work Plan'!$H$5:$H$61,A10)</f>
        <v>6</v>
      </c>
    </row>
    <row r="11" spans="1:2" x14ac:dyDescent="0.3">
      <c r="A11" s="26" t="s">
        <v>94</v>
      </c>
      <c r="B11" s="27">
        <f>COUNTIF('Work Plan'!$H$5:$H$61,A11)</f>
        <v>1</v>
      </c>
    </row>
    <row r="12" spans="1:2" x14ac:dyDescent="0.3">
      <c r="A12" s="26" t="s">
        <v>279</v>
      </c>
      <c r="B12" s="27">
        <f>COUNTIF('Work Plan'!$H$5:$H$61,A12)</f>
        <v>1</v>
      </c>
    </row>
    <row r="13" spans="1:2" x14ac:dyDescent="0.3">
      <c r="A13" s="26" t="s">
        <v>45</v>
      </c>
      <c r="B13" s="27">
        <f>COUNTIF('Work Plan'!$H$5:$H$61,A13)</f>
        <v>2</v>
      </c>
    </row>
    <row r="14" spans="1:2" x14ac:dyDescent="0.3">
      <c r="A14" s="26" t="s">
        <v>409</v>
      </c>
      <c r="B14" s="27">
        <f>COUNTIF('Work Plan'!$H$5:$H$61,A14)</f>
        <v>1</v>
      </c>
    </row>
    <row r="15" spans="1:2" x14ac:dyDescent="0.3">
      <c r="A15" s="28" t="s">
        <v>609</v>
      </c>
      <c r="B15" s="29">
        <f>SUM(B5:B14)</f>
        <v>57</v>
      </c>
    </row>
    <row r="17" spans="1:2" x14ac:dyDescent="0.3">
      <c r="A17" s="23" t="s">
        <v>610</v>
      </c>
    </row>
    <row r="18" spans="1:2" x14ac:dyDescent="0.3">
      <c r="A18" s="26" t="s">
        <v>16</v>
      </c>
      <c r="B18" s="27">
        <f>COUNTIF('Work Plan'!$B$5:$B$61,A18)</f>
        <v>8</v>
      </c>
    </row>
    <row r="19" spans="1:2" x14ac:dyDescent="0.3">
      <c r="A19" s="26" t="s">
        <v>99</v>
      </c>
      <c r="B19" s="27">
        <f>COUNTIF('Work Plan'!$B$5:$B$61,A19)</f>
        <v>16</v>
      </c>
    </row>
    <row r="20" spans="1:2" x14ac:dyDescent="0.3">
      <c r="A20" s="26" t="s">
        <v>236</v>
      </c>
      <c r="B20" s="27">
        <f>COUNTIF('Work Plan'!$B$5:$B$61,A20)</f>
        <v>7</v>
      </c>
    </row>
    <row r="21" spans="1:2" x14ac:dyDescent="0.3">
      <c r="A21" s="26" t="s">
        <v>304</v>
      </c>
      <c r="B21" s="27">
        <f>COUNTIF('Work Plan'!$B$5:$B$61,A21)</f>
        <v>5</v>
      </c>
    </row>
    <row r="22" spans="1:2" x14ac:dyDescent="0.3">
      <c r="A22" s="26" t="s">
        <v>348</v>
      </c>
      <c r="B22" s="27">
        <f>COUNTIF('Work Plan'!$B$5:$B$61,A22)</f>
        <v>8</v>
      </c>
    </row>
    <row r="23" spans="1:2" x14ac:dyDescent="0.3">
      <c r="A23" s="26" t="s">
        <v>415</v>
      </c>
      <c r="B23" s="27">
        <f>COUNTIF('Work Plan'!$B$5:$B$61,A23)</f>
        <v>5</v>
      </c>
    </row>
    <row r="24" spans="1:2" x14ac:dyDescent="0.3">
      <c r="A24" s="26" t="s">
        <v>458</v>
      </c>
      <c r="B24" s="27">
        <f>COUNTIF('Work Plan'!$B$5:$B$61,A24)</f>
        <v>8</v>
      </c>
    </row>
    <row r="25" spans="1:2" x14ac:dyDescent="0.3">
      <c r="A25" s="28" t="s">
        <v>609</v>
      </c>
      <c r="B25" s="29">
        <f>SUM(B18:B24)</f>
        <v>57</v>
      </c>
    </row>
    <row r="27" spans="1:2" x14ac:dyDescent="0.3">
      <c r="A27" s="23" t="s">
        <v>611</v>
      </c>
    </row>
    <row r="28" spans="1:2" x14ac:dyDescent="0.3">
      <c r="A28" s="26" t="s">
        <v>612</v>
      </c>
      <c r="B28" s="27">
        <f>COUNTIF('Work Plan'!$M$5:$M$61,"Established*")</f>
        <v>42</v>
      </c>
    </row>
    <row r="29" spans="1:2" x14ac:dyDescent="0.3">
      <c r="A29" s="26" t="s">
        <v>613</v>
      </c>
      <c r="B29" s="27">
        <f>COUNTIF('Work Plan'!$M$5:$M$61,"Baseline done*")</f>
        <v>1</v>
      </c>
    </row>
    <row r="30" spans="1:2" x14ac:dyDescent="0.3">
      <c r="A30" s="26" t="s">
        <v>614</v>
      </c>
      <c r="B30" s="27">
        <f>COUNTIF('Work Plan'!$M$5:$M$61,"In progress*")</f>
        <v>1</v>
      </c>
    </row>
    <row r="31" spans="1:2" x14ac:dyDescent="0.3">
      <c r="A31" s="26" t="s">
        <v>615</v>
      </c>
      <c r="B31" s="27">
        <f>COUNTIF('Work Plan'!$M$5:$M$61,"In development*")</f>
        <v>5</v>
      </c>
    </row>
    <row r="32" spans="1:2" x14ac:dyDescent="0.3">
      <c r="A32" s="26" t="s">
        <v>323</v>
      </c>
      <c r="B32" s="27">
        <f>COUNTIF('Work Plan'!$M$5:$M$61,"Under design*")</f>
        <v>1</v>
      </c>
    </row>
    <row r="33" spans="1:2" x14ac:dyDescent="0.3">
      <c r="A33" s="26" t="s">
        <v>616</v>
      </c>
      <c r="B33" s="27">
        <f>COUNTIF('Work Plan'!$M$5:$M$61,"Template ready*")</f>
        <v>2</v>
      </c>
    </row>
    <row r="34" spans="1:2" x14ac:dyDescent="0.3">
      <c r="A34" s="26" t="s">
        <v>617</v>
      </c>
      <c r="B34" s="27">
        <f>COUNTIF('Work Plan'!$M$5:$M$61,"To establish*")</f>
        <v>5</v>
      </c>
    </row>
    <row r="35" spans="1:2" x14ac:dyDescent="0.3">
      <c r="A35" s="28" t="s">
        <v>618</v>
      </c>
      <c r="B35" s="29">
        <f>SUM(B28:B34)</f>
        <v>57</v>
      </c>
    </row>
    <row r="37" spans="1:2" x14ac:dyDescent="0.3">
      <c r="A37" s="30" t="s">
        <v>619</v>
      </c>
      <c r="B37" s="31">
        <f>COUNTA('Work Plan'!$A$5:$A$61)</f>
        <v>57</v>
      </c>
    </row>
    <row r="39" spans="1:2" x14ac:dyDescent="0.3">
      <c r="A39" s="23" t="s">
        <v>620</v>
      </c>
    </row>
    <row r="40" spans="1:2" ht="25.5" customHeight="1" x14ac:dyDescent="0.3">
      <c r="A40" s="32" t="s">
        <v>621</v>
      </c>
    </row>
    <row r="41" spans="1:2" ht="49.5" customHeight="1" x14ac:dyDescent="0.3">
      <c r="A41" s="32" t="s">
        <v>622</v>
      </c>
    </row>
    <row r="42" spans="1:2" ht="13.5" customHeight="1" x14ac:dyDescent="0.3">
      <c r="A42" s="32" t="s">
        <v>623</v>
      </c>
    </row>
    <row r="43" spans="1:2" ht="25.5" customHeight="1" x14ac:dyDescent="0.3">
      <c r="A43" s="32" t="s">
        <v>624</v>
      </c>
    </row>
    <row r="44" spans="1:2" ht="37.5" customHeight="1" x14ac:dyDescent="0.3">
      <c r="A44" s="32" t="s">
        <v>625</v>
      </c>
    </row>
    <row r="45" spans="1:2" ht="37.5" customHeight="1" x14ac:dyDescent="0.3">
      <c r="A45" s="32" t="s">
        <v>626</v>
      </c>
    </row>
    <row r="46" spans="1:2" ht="37.5" customHeight="1" x14ac:dyDescent="0.3">
      <c r="A46" s="32" t="s">
        <v>627</v>
      </c>
    </row>
  </sheetData>
  <mergeCells count="2">
    <mergeCell ref="A1:B1"/>
    <mergeCell ref="A2:B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Work Plan</vt:lpstr>
      <vt:lpstr>Reporting Calendar</vt:lpstr>
      <vt:lpstr>Roles &amp; Data Quality</vt:lpstr>
      <vt:lpstr>Summary</vt:lpstr>
      <vt:lpstr>'Work Plan'!Print_Area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Mohammed Amimul Shakib</cp:lastModifiedBy>
  <cp:revision>0</cp:revision>
  <cp:lastPrinted>2026-10-02T08:55:22Z</cp:lastPrinted>
  <dcterms:created xsi:type="dcterms:W3CDTF">2026-09-30T05:39:59Z</dcterms:created>
  <dcterms:modified xsi:type="dcterms:W3CDTF">2026-10-03T03:54:36Z</dcterms:modified>
  <dc:language>en-US</dc:language>
</cp:coreProperties>
</file>